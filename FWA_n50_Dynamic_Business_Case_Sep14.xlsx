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80" tabRatio="600" firstSheet="0" activeTab="0" autoFilterDateGrouping="1"/>
  </bookViews>
  <sheets>
    <sheet name="Executive Dashboard" sheetId="1" state="visible" r:id="rId1"/>
    <sheet name="Table 3 - 8-Scenario Matrix" sheetId="2" state="visible" r:id="rId2"/>
    <sheet name="Table 4 - What Makes It a GO" sheetId="3" state="visible" r:id="rId3"/>
    <sheet name="Assumptions &amp; Levers" sheetId="4" state="visible" r:id="rId4"/>
    <sheet name="S1_Leased_FOC_NonDef" sheetId="5" state="visible" r:id="rId5"/>
    <sheet name="S2_Leased_FOC_Deferred" sheetId="6" state="visible" r:id="rId6"/>
    <sheet name="S3_Leased_Star_NonDef" sheetId="7" state="visible" r:id="rId7"/>
    <sheet name="S4_Leased_Star_Deferred" sheetId="8" state="visible" r:id="rId8"/>
    <sheet name="S5_Own_FOC_NonDef" sheetId="9" state="visible" r:id="rId9"/>
    <sheet name="S6_Own_FOC_Deferred" sheetId="10" state="visible" r:id="rId10"/>
    <sheet name="S7_Own_Star_NonDef" sheetId="11" state="visible" r:id="rId11"/>
    <sheet name="S8_Own_Star_Deferred" sheetId="12" state="visible" r:id="rId12"/>
    <sheet name="Master Comparison (8 Scenarios)" sheetId="13" state="visible" r:id="rId13"/>
    <sheet name="ARPU &amp; Breakeven Engine" sheetId="14" state="visible" r:id="rId14"/>
    <sheet name="Subscriber Ramp Analysis" sheetId="15" state="visible" r:id="rId15"/>
    <sheet name="Go &amp; No-Go Scorecard" sheetId="16" state="visible" r:id="rId16"/>
    <sheet name="Sensitivity Analysis" sheetId="17" state="visible" r:id="rId17"/>
    <sheet name="Strategic Levers Matrix" sheetId="18" state="visible" r:id="rId1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9">
    <numFmt numFmtId="164" formatCode="\$#,##0.0"/>
    <numFmt numFmtId="165" formatCode="0.0%"/>
    <numFmt numFmtId="166" formatCode="0.0"/>
    <numFmt numFmtId="167" formatCode="0.0\x"/>
    <numFmt numFmtId="168" formatCode="\$#,##0.00"/>
    <numFmt numFmtId="169" formatCode="\₱#,##0"/>
    <numFmt numFmtId="170" formatCode="\₱#,##0.00"/>
    <numFmt numFmtId="171" formatCode="0.000"/>
    <numFmt numFmtId="172" formatCode="\$#,##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1F497D"/>
      <sz val="16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1F497D"/>
      <sz val="12"/>
    </font>
    <font>
      <name val="Calibri"/>
      <family val="2"/>
      <b val="1"/>
      <color rgb="FF1F497D"/>
      <sz val="14"/>
    </font>
    <font>
      <name val="Calibri"/>
      <family val="2"/>
      <b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7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center"/>
    </xf>
    <xf numFmtId="168" fontId="0" fillId="0" borderId="1" pivotButton="0" quotePrefix="0" xfId="0"/>
    <xf numFmtId="49" fontId="0" fillId="0" borderId="1" applyAlignment="1" pivotButton="0" quotePrefix="0" xfId="0">
      <alignment horizontal="center"/>
    </xf>
    <xf numFmtId="0" fontId="4" fillId="5" borderId="1" pivotButton="0" quotePrefix="0" xfId="0"/>
    <xf numFmtId="165" fontId="0" fillId="0" borderId="1" applyAlignment="1" pivotButton="0" quotePrefix="0" xfId="0">
      <alignment horizontal="center"/>
    </xf>
    <xf numFmtId="0" fontId="4" fillId="3" borderId="1" pivotButton="0" quotePrefix="0" xfId="0"/>
    <xf numFmtId="3" fontId="4" fillId="4" borderId="1" applyAlignment="1" pivotButton="0" quotePrefix="0" xfId="0">
      <alignment horizontal="center"/>
    </xf>
    <xf numFmtId="168" fontId="0" fillId="4" borderId="1" pivotButton="0" quotePrefix="0" xfId="0"/>
    <xf numFmtId="165" fontId="0" fillId="4" borderId="1" applyAlignment="1" pivotButton="0" quotePrefix="0" xfId="0">
      <alignment horizontal="center"/>
    </xf>
    <xf numFmtId="0" fontId="4" fillId="6" borderId="1" pivotButton="0" quotePrefix="0" xfId="0"/>
    <xf numFmtId="3" fontId="4" fillId="6" borderId="1" applyAlignment="1" pivotButton="0" quotePrefix="0" xfId="0">
      <alignment horizontal="center"/>
    </xf>
    <xf numFmtId="168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5" fontId="0" fillId="6" borderId="1" applyAlignment="1" pivotButton="0" quotePrefix="0" xfId="0">
      <alignment horizontal="center"/>
    </xf>
    <xf numFmtId="166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0" fontId="4" fillId="6" borderId="2" pivotButton="0" quotePrefix="0" xfId="0"/>
    <xf numFmtId="0" fontId="4" fillId="6" borderId="2" applyAlignment="1" pivotButton="0" quotePrefix="0" xfId="0">
      <alignment horizontal="center"/>
    </xf>
    <xf numFmtId="169" fontId="4" fillId="6" borderId="2" applyAlignment="1" pivotButton="0" quotePrefix="0" xfId="0">
      <alignment horizontal="right"/>
    </xf>
    <xf numFmtId="165" fontId="4" fillId="6" borderId="2" applyAlignment="1" pivotButton="0" quotePrefix="0" xfId="0">
      <alignment horizontal="center"/>
    </xf>
    <xf numFmtId="170" fontId="4" fillId="6" borderId="2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168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3" fontId="4" fillId="5" borderId="2" pivotButton="0" quotePrefix="0" xfId="0"/>
    <xf numFmtId="3" fontId="5" fillId="0" borderId="1" pivotButton="0" quotePrefix="0" xfId="0"/>
    <xf numFmtId="168" fontId="5" fillId="0" borderId="1" pivotButton="0" quotePrefix="0" xfId="0"/>
    <xf numFmtId="172" fontId="5" fillId="0" borderId="1" pivotButton="0" quotePrefix="0" xfId="0"/>
    <xf numFmtId="172" fontId="4" fillId="5" borderId="2" pivotButton="0" quotePrefix="0" xfId="0"/>
    <xf numFmtId="165" fontId="5" fillId="0" borderId="1" pivotButton="0" quotePrefix="0" xfId="0"/>
    <xf numFmtId="172" fontId="7" fillId="4" borderId="1" pivotButton="0" quotePrefix="0" xfId="0"/>
    <xf numFmtId="165" fontId="7" fillId="4" borderId="1" pivotButton="0" quotePrefix="0" xfId="0"/>
    <xf numFmtId="166" fontId="7" fillId="4" borderId="1" pivotButton="0" quotePrefix="0" xfId="0"/>
    <xf numFmtId="167" fontId="7" fillId="4" borderId="1" pivotButton="0" quotePrefix="0" xfId="0"/>
    <xf numFmtId="3" fontId="0" fillId="0" borderId="1" pivotButton="0" quotePrefix="0" xfId="0"/>
    <xf numFmtId="166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164" fontId="0" fillId="7" borderId="1" pivotButton="0" quotePrefix="0" xfId="0"/>
    <xf numFmtId="164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7" fontId="7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0" fillId="0" borderId="5" pivotButton="0" quotePrefix="0" xfId="0"/>
    <xf numFmtId="167" fontId="7" fillId="4" borderId="1" applyAlignment="1" pivotButton="0" quotePrefix="0" xfId="0">
      <alignment horizontal="center"/>
    </xf>
    <xf numFmtId="164" fontId="0" fillId="0" borderId="1" pivotButton="0" quotePrefix="0" xfId="0"/>
    <xf numFmtId="166" fontId="0" fillId="0" borderId="1" applyAlignment="1" pivotButton="0" quotePrefix="0" xfId="0">
      <alignment horizontal="center"/>
    </xf>
    <xf numFmtId="0" fontId="0" fillId="0" borderId="6" pivotButton="0" quotePrefix="0" xfId="0"/>
    <xf numFmtId="167" fontId="0" fillId="0" borderId="1" applyAlignment="1" pivotButton="0" quotePrefix="0" xfId="0">
      <alignment horizontal="center"/>
    </xf>
    <xf numFmtId="164" fontId="0" fillId="4" borderId="1" pivotButton="0" quotePrefix="0" xfId="0"/>
    <xf numFmtId="166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164" fontId="0" fillId="6" borderId="1" pivotButton="0" quotePrefix="0" xfId="0"/>
    <xf numFmtId="166" fontId="0" fillId="6" borderId="1" applyAlignment="1" pivotButton="0" quotePrefix="0" xfId="0">
      <alignment horizontal="center"/>
    </xf>
    <xf numFmtId="169" fontId="0" fillId="0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69" fontId="4" fillId="6" borderId="2" applyAlignment="1" pivotButton="0" quotePrefix="0" xfId="0">
      <alignment horizontal="right"/>
    </xf>
    <xf numFmtId="170" fontId="4" fillId="6" borderId="2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172" fontId="5" fillId="0" borderId="1" pivotButton="0" quotePrefix="0" xfId="0"/>
    <xf numFmtId="172" fontId="4" fillId="5" borderId="2" pivotButton="0" quotePrefix="0" xfId="0"/>
    <xf numFmtId="172" fontId="7" fillId="4" borderId="1" pivotButton="0" quotePrefix="0" xfId="0"/>
    <xf numFmtId="166" fontId="7" fillId="4" borderId="1" pivotButton="0" quotePrefix="0" xfId="0"/>
    <xf numFmtId="167" fontId="7" fillId="4" borderId="1" pivotButton="0" quotePrefix="0" xfId="0"/>
    <xf numFmtId="166" fontId="0" fillId="0" borderId="1" pivotButton="0" quotePrefix="0" xfId="0"/>
    <xf numFmtId="164" fontId="0" fillId="7" borderId="1" pivotButton="0" quotePrefix="0" xfId="0"/>
    <xf numFmtId="164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C29" sqref="C29"/>
    </sheetView>
  </sheetViews>
  <sheetFormatPr baseColWidth="10" defaultColWidth="8.83203125" defaultRowHeight="15"/>
  <cols>
    <col width="8" customWidth="1" min="1" max="1"/>
    <col width="38" customWidth="1" min="2" max="2"/>
    <col width="22" customWidth="1" min="3" max="3"/>
    <col width="18" customWidth="1" min="4" max="4"/>
    <col width="16" customWidth="1" min="5" max="6"/>
    <col width="14" customWidth="1" min="7" max="7"/>
    <col width="15" customWidth="1" min="8" max="8"/>
    <col width="18" customWidth="1" min="9" max="9"/>
    <col width="16" customWidth="1" min="10" max="10"/>
    <col width="20" customWidth="1" min="11" max="11"/>
  </cols>
  <sheetData>
    <row r="1" ht="21" customHeight="1">
      <c r="A1" s="1" t="inlineStr">
        <is>
          <t>EXECUTIVE BUSINESS CASE DASHBOARD — FWA 5G n50 (1,000 Sites in Year 1)</t>
        </is>
      </c>
    </row>
    <row r="2">
      <c r="A2" s="2" t="inlineStr">
        <is>
          <t>Strategic Decision Framework: 1,000 Sites Day-1 Rollout · 1,000,000 Capacity · Leased vs Owned · FOC vs Starlink · Deferred vs Non-Deferred</t>
        </is>
      </c>
    </row>
    <row r="3"/>
    <row r="4" ht="16" customHeight="1">
      <c r="A4" s="3" t="inlineStr">
        <is>
          <t>RECOMMENDED OPTIMIZED SCENARIO (Scenario 4: Leased + Starlink + Deferred)</t>
        </is>
      </c>
    </row>
    <row r="5">
      <c r="A5" s="88" t="inlineStr">
        <is>
          <t>10-Year Project NPV (@12%)</t>
        </is>
      </c>
      <c r="B5" s="94" t="n"/>
      <c r="C5" s="88" t="inlineStr">
        <is>
          <t>10-Year Project IRR</t>
        </is>
      </c>
      <c r="D5" s="94" t="n"/>
      <c r="E5" s="88" t="inlineStr">
        <is>
          <t>Simple Payback Period</t>
        </is>
      </c>
      <c r="F5" s="94" t="n"/>
      <c r="G5" s="88" t="inlineStr">
        <is>
          <t>Peak Funding Requirement</t>
        </is>
      </c>
      <c r="H5" s="94" t="n"/>
      <c r="I5" s="88" t="inlineStr">
        <is>
          <t>10-Year EBITDA Margin</t>
        </is>
      </c>
      <c r="J5" s="94" t="n"/>
      <c r="K5" s="88" t="inlineStr">
        <is>
          <t>Return on Capital (ROI)</t>
        </is>
      </c>
      <c r="L5" s="94" t="n"/>
    </row>
    <row r="6" ht="19" customHeight="1">
      <c r="A6" s="86">
        <f>'Master Comparison (8 Scenarios)'!L8</f>
        <v/>
      </c>
      <c r="B6" s="94" t="n"/>
      <c r="C6" s="87">
        <f>'Master Comparison (8 Scenarios)'!M8</f>
        <v/>
      </c>
      <c r="D6" s="94" t="n"/>
      <c r="E6" s="86">
        <f>'Master Comparison (8 Scenarios)'!N8</f>
        <v/>
      </c>
      <c r="F6" s="94" t="n"/>
      <c r="G6" s="86">
        <f>'Master Comparison (8 Scenarios)'!K8</f>
        <v/>
      </c>
      <c r="H6" s="94" t="n"/>
      <c r="I6" s="87">
        <f>'Master Comparison (8 Scenarios)'!I8</f>
        <v/>
      </c>
      <c r="J6" s="94" t="n"/>
      <c r="K6" s="95">
        <f>'Master Comparison (8 Scenarios)'!O8</f>
        <v/>
      </c>
      <c r="L6" s="94" t="n"/>
    </row>
    <row r="7">
      <c r="A7" s="84" t="inlineStr">
        <is>
          <t>Net Economic Value Created</t>
        </is>
      </c>
      <c r="B7" s="94" t="n"/>
      <c r="C7" s="84" t="inlineStr">
        <is>
          <t>Unlevered Rate of Return</t>
        </is>
      </c>
      <c r="D7" s="94" t="n"/>
      <c r="E7" s="84" t="inlineStr">
        <is>
          <t>Capital Recovery Timeline</t>
        </is>
      </c>
      <c r="F7" s="94" t="n"/>
      <c r="G7" s="84" t="inlineStr">
        <is>
          <t>Maximum Cash Drawdown</t>
        </is>
      </c>
      <c r="H7" s="94" t="n"/>
      <c r="I7" s="84" t="inlineStr">
        <is>
          <t>Operational Profitability</t>
        </is>
      </c>
      <c r="J7" s="94" t="n"/>
      <c r="K7" s="84" t="inlineStr">
        <is>
          <t>Cash Multiple on Peak Invested</t>
        </is>
      </c>
      <c r="L7" s="94" t="n"/>
    </row>
    <row r="8"/>
    <row r="9" ht="16" customHeight="1">
      <c r="A9" s="3" t="inlineStr">
        <is>
          <t>EXECUTIVE SUMMARY: ALL 8 SCENARIOS AT A GLANCE (1,000 SITES IN YEAR 1)</t>
        </is>
      </c>
    </row>
    <row r="10">
      <c r="A10" s="5" t="inlineStr">
        <is>
          <t>ID</t>
        </is>
      </c>
      <c r="B10" s="5" t="inlineStr">
        <is>
          <t>Scenario Description</t>
        </is>
      </c>
      <c r="C10" s="5" t="inlineStr">
        <is>
          <t>Tower Model</t>
        </is>
      </c>
      <c r="D10" s="5" t="inlineStr">
        <is>
          <t>Backhaul</t>
        </is>
      </c>
      <c r="E10" s="5" t="inlineStr">
        <is>
          <t>Payment Terms</t>
        </is>
      </c>
      <c r="F10" s="5" t="inlineStr">
        <is>
          <t>10-Yr NPV ($M)</t>
        </is>
      </c>
      <c r="G10" s="5" t="inlineStr">
        <is>
          <t>IRR (%)</t>
        </is>
      </c>
      <c r="H10" s="5" t="inlineStr">
        <is>
          <t>Payback (Yrs)</t>
        </is>
      </c>
      <c r="I10" s="5" t="inlineStr">
        <is>
          <t>Peak Funding ($M)</t>
        </is>
      </c>
      <c r="J10" s="5" t="inlineStr">
        <is>
          <t>10-Yr FCF ($M)</t>
        </is>
      </c>
      <c r="K10" s="5" t="inlineStr">
        <is>
          <t>Decision Verdict</t>
        </is>
      </c>
    </row>
    <row r="11">
      <c r="A11" s="6">
        <f>'Master Comparison (8 Scenarios)'!A5</f>
        <v/>
      </c>
      <c r="B11" s="7" t="n"/>
      <c r="C11" s="85">
        <f>'Master Comparison (8 Scenarios)'!B5</f>
        <v/>
      </c>
      <c r="D11" s="85">
        <f>'Master Comparison (8 Scenarios)'!C5</f>
        <v/>
      </c>
      <c r="E11" s="85">
        <f>'Master Comparison (8 Scenarios)'!D5</f>
        <v/>
      </c>
      <c r="F11" s="96">
        <f>'Master Comparison (8 Scenarios)'!L5</f>
        <v/>
      </c>
      <c r="G11" s="9">
        <f>'Master Comparison (8 Scenarios)'!M5</f>
        <v/>
      </c>
      <c r="H11" s="97">
        <f>'Master Comparison (8 Scenarios)'!N5</f>
        <v/>
      </c>
      <c r="I11" s="96">
        <f>'Master Comparison (8 Scenarios)'!K5</f>
        <v/>
      </c>
      <c r="J11" s="96">
        <f>'Master Comparison (8 Scenarios)'!J5</f>
        <v/>
      </c>
      <c r="K11" s="11">
        <f>'Master Comparison (8 Scenarios)'!P5</f>
        <v/>
      </c>
    </row>
    <row r="12">
      <c r="A12" s="6">
        <f>'Master Comparison (8 Scenarios)'!A6</f>
        <v/>
      </c>
      <c r="B12" s="7" t="n"/>
      <c r="C12" s="85">
        <f>'Master Comparison (8 Scenarios)'!B6</f>
        <v/>
      </c>
      <c r="D12" s="85">
        <f>'Master Comparison (8 Scenarios)'!C6</f>
        <v/>
      </c>
      <c r="E12" s="85">
        <f>'Master Comparison (8 Scenarios)'!D6</f>
        <v/>
      </c>
      <c r="F12" s="96">
        <f>'Master Comparison (8 Scenarios)'!L6</f>
        <v/>
      </c>
      <c r="G12" s="9">
        <f>'Master Comparison (8 Scenarios)'!M6</f>
        <v/>
      </c>
      <c r="H12" s="97">
        <f>'Master Comparison (8 Scenarios)'!N6</f>
        <v/>
      </c>
      <c r="I12" s="96">
        <f>'Master Comparison (8 Scenarios)'!K6</f>
        <v/>
      </c>
      <c r="J12" s="96">
        <f>'Master Comparison (8 Scenarios)'!J6</f>
        <v/>
      </c>
      <c r="K12" s="11">
        <f>'Master Comparison (8 Scenarios)'!P6</f>
        <v/>
      </c>
    </row>
    <row r="13">
      <c r="A13" s="6">
        <f>'Master Comparison (8 Scenarios)'!A7</f>
        <v/>
      </c>
      <c r="B13" s="7" t="n"/>
      <c r="C13" s="85">
        <f>'Master Comparison (8 Scenarios)'!B7</f>
        <v/>
      </c>
      <c r="D13" s="85">
        <f>'Master Comparison (8 Scenarios)'!C7</f>
        <v/>
      </c>
      <c r="E13" s="85">
        <f>'Master Comparison (8 Scenarios)'!D7</f>
        <v/>
      </c>
      <c r="F13" s="96">
        <f>'Master Comparison (8 Scenarios)'!L7</f>
        <v/>
      </c>
      <c r="G13" s="9">
        <f>'Master Comparison (8 Scenarios)'!M7</f>
        <v/>
      </c>
      <c r="H13" s="97">
        <f>'Master Comparison (8 Scenarios)'!N7</f>
        <v/>
      </c>
      <c r="I13" s="96">
        <f>'Master Comparison (8 Scenarios)'!K7</f>
        <v/>
      </c>
      <c r="J13" s="96">
        <f>'Master Comparison (8 Scenarios)'!J7</f>
        <v/>
      </c>
      <c r="K13" s="11">
        <f>'Master Comparison (8 Scenarios)'!P7</f>
        <v/>
      </c>
    </row>
    <row r="14">
      <c r="A14" s="6">
        <f>'Master Comparison (8 Scenarios)'!A8</f>
        <v/>
      </c>
      <c r="B14" s="7" t="n"/>
      <c r="C14" s="85">
        <f>'Master Comparison (8 Scenarios)'!B8</f>
        <v/>
      </c>
      <c r="D14" s="85">
        <f>'Master Comparison (8 Scenarios)'!C8</f>
        <v/>
      </c>
      <c r="E14" s="85">
        <f>'Master Comparison (8 Scenarios)'!D8</f>
        <v/>
      </c>
      <c r="F14" s="96">
        <f>'Master Comparison (8 Scenarios)'!L8</f>
        <v/>
      </c>
      <c r="G14" s="9">
        <f>'Master Comparison (8 Scenarios)'!M8</f>
        <v/>
      </c>
      <c r="H14" s="97">
        <f>'Master Comparison (8 Scenarios)'!N8</f>
        <v/>
      </c>
      <c r="I14" s="96">
        <f>'Master Comparison (8 Scenarios)'!K8</f>
        <v/>
      </c>
      <c r="J14" s="96">
        <f>'Master Comparison (8 Scenarios)'!J8</f>
        <v/>
      </c>
      <c r="K14" s="11">
        <f>'Master Comparison (8 Scenarios)'!P8</f>
        <v/>
      </c>
    </row>
    <row r="15">
      <c r="A15" s="6">
        <f>'Master Comparison (8 Scenarios)'!A9</f>
        <v/>
      </c>
      <c r="B15" s="7" t="n"/>
      <c r="C15" s="85">
        <f>'Master Comparison (8 Scenarios)'!B9</f>
        <v/>
      </c>
      <c r="D15" s="85">
        <f>'Master Comparison (8 Scenarios)'!C9</f>
        <v/>
      </c>
      <c r="E15" s="85">
        <f>'Master Comparison (8 Scenarios)'!D9</f>
        <v/>
      </c>
      <c r="F15" s="96">
        <f>'Master Comparison (8 Scenarios)'!L9</f>
        <v/>
      </c>
      <c r="G15" s="9">
        <f>'Master Comparison (8 Scenarios)'!M9</f>
        <v/>
      </c>
      <c r="H15" s="97">
        <f>'Master Comparison (8 Scenarios)'!N9</f>
        <v/>
      </c>
      <c r="I15" s="96">
        <f>'Master Comparison (8 Scenarios)'!K9</f>
        <v/>
      </c>
      <c r="J15" s="96">
        <f>'Master Comparison (8 Scenarios)'!J9</f>
        <v/>
      </c>
      <c r="K15" s="11">
        <f>'Master Comparison (8 Scenarios)'!P9</f>
        <v/>
      </c>
    </row>
    <row r="16">
      <c r="A16" s="6">
        <f>'Master Comparison (8 Scenarios)'!A10</f>
        <v/>
      </c>
      <c r="B16" s="7" t="n"/>
      <c r="C16" s="85">
        <f>'Master Comparison (8 Scenarios)'!B10</f>
        <v/>
      </c>
      <c r="D16" s="85">
        <f>'Master Comparison (8 Scenarios)'!C10</f>
        <v/>
      </c>
      <c r="E16" s="85">
        <f>'Master Comparison (8 Scenarios)'!D10</f>
        <v/>
      </c>
      <c r="F16" s="96">
        <f>'Master Comparison (8 Scenarios)'!L10</f>
        <v/>
      </c>
      <c r="G16" s="9">
        <f>'Master Comparison (8 Scenarios)'!M10</f>
        <v/>
      </c>
      <c r="H16" s="97">
        <f>'Master Comparison (8 Scenarios)'!N10</f>
        <v/>
      </c>
      <c r="I16" s="96">
        <f>'Master Comparison (8 Scenarios)'!K10</f>
        <v/>
      </c>
      <c r="J16" s="96">
        <f>'Master Comparison (8 Scenarios)'!J10</f>
        <v/>
      </c>
      <c r="K16" s="11">
        <f>'Master Comparison (8 Scenarios)'!P10</f>
        <v/>
      </c>
    </row>
    <row r="17">
      <c r="A17" s="6">
        <f>'Master Comparison (8 Scenarios)'!A11</f>
        <v/>
      </c>
      <c r="B17" s="7" t="n"/>
      <c r="C17" s="85">
        <f>'Master Comparison (8 Scenarios)'!B11</f>
        <v/>
      </c>
      <c r="D17" s="85">
        <f>'Master Comparison (8 Scenarios)'!C11</f>
        <v/>
      </c>
      <c r="E17" s="85">
        <f>'Master Comparison (8 Scenarios)'!D11</f>
        <v/>
      </c>
      <c r="F17" s="96">
        <f>'Master Comparison (8 Scenarios)'!L11</f>
        <v/>
      </c>
      <c r="G17" s="9">
        <f>'Master Comparison (8 Scenarios)'!M11</f>
        <v/>
      </c>
      <c r="H17" s="97">
        <f>'Master Comparison (8 Scenarios)'!N11</f>
        <v/>
      </c>
      <c r="I17" s="96">
        <f>'Master Comparison (8 Scenarios)'!K11</f>
        <v/>
      </c>
      <c r="J17" s="96">
        <f>'Master Comparison (8 Scenarios)'!J11</f>
        <v/>
      </c>
      <c r="K17" s="11">
        <f>'Master Comparison (8 Scenarios)'!P11</f>
        <v/>
      </c>
    </row>
    <row r="18">
      <c r="A18" s="6">
        <f>'Master Comparison (8 Scenarios)'!A12</f>
        <v/>
      </c>
      <c r="B18" s="7" t="n"/>
      <c r="C18" s="85">
        <f>'Master Comparison (8 Scenarios)'!B12</f>
        <v/>
      </c>
      <c r="D18" s="85">
        <f>'Master Comparison (8 Scenarios)'!C12</f>
        <v/>
      </c>
      <c r="E18" s="85">
        <f>'Master Comparison (8 Scenarios)'!D12</f>
        <v/>
      </c>
      <c r="F18" s="96">
        <f>'Master Comparison (8 Scenarios)'!L12</f>
        <v/>
      </c>
      <c r="G18" s="9">
        <f>'Master Comparison (8 Scenarios)'!M12</f>
        <v/>
      </c>
      <c r="H18" s="97">
        <f>'Master Comparison (8 Scenarios)'!N12</f>
        <v/>
      </c>
      <c r="I18" s="96">
        <f>'Master Comparison (8 Scenarios)'!K12</f>
        <v/>
      </c>
      <c r="J18" s="96">
        <f>'Master Comparison (8 Scenarios)'!J12</f>
        <v/>
      </c>
      <c r="K18" s="11">
        <f>'Master Comparison (8 Scenarios)'!P12</f>
        <v/>
      </c>
    </row>
  </sheetData>
  <mergeCells count="18"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24" customWidth="1" min="2" max="2"/>
    <col width="20" customWidth="1" min="3" max="3"/>
    <col width="18" customWidth="1" min="4" max="4"/>
    <col width="17" customWidth="1" min="5" max="16"/>
  </cols>
  <sheetData>
    <row r="1" ht="21" customHeight="1">
      <c r="A1" s="1" t="inlineStr">
        <is>
          <t>FWA 5G n50 (80 MHz) — Table 3: 8-Scenario Financial Matrix (10,000 Sites at Maturity)</t>
        </is>
      </c>
    </row>
    <row r="2">
      <c r="A2" s="2" t="inlineStr">
        <is>
          <t>Full 10-Year Lifecycle Comparison across Tower Model, Backhaul Technology, and Equipment/SUF Payment Terms (1,000 Sites Y1 + 1,000 Sites/Yr Y2-Y10)</t>
        </is>
      </c>
    </row>
    <row r="3"/>
    <row r="4">
      <c r="A4" s="92" t="inlineStr">
        <is>
          <t>Total Network Footprint</t>
        </is>
      </c>
      <c r="B4" s="98" t="n"/>
      <c r="C4" s="94" t="n"/>
      <c r="D4" s="92" t="inlineStr">
        <is>
          <t>Total Network Capacity</t>
        </is>
      </c>
      <c r="E4" s="98" t="n"/>
      <c r="F4" s="94" t="n"/>
      <c r="G4" s="92" t="inlineStr">
        <is>
          <t>Spectrum User Fee (SUF)</t>
        </is>
      </c>
      <c r="H4" s="98" t="n"/>
      <c r="I4" s="94" t="n"/>
      <c r="J4" s="92" t="inlineStr">
        <is>
          <t>Incremental IT CAPEX</t>
        </is>
      </c>
      <c r="K4" s="98" t="n"/>
      <c r="L4" s="94" t="n"/>
      <c r="M4" s="92" t="inlineStr">
        <is>
          <t>Recommended Strategy</t>
        </is>
      </c>
      <c r="N4" s="98" t="n"/>
      <c r="O4" s="94" t="n"/>
    </row>
    <row r="5" ht="19" customHeight="1">
      <c r="A5" s="86" t="inlineStr">
        <is>
          <t>10,000 Sites</t>
        </is>
      </c>
      <c r="B5" s="98" t="n"/>
      <c r="C5" s="94" t="n"/>
      <c r="D5" s="86" t="inlineStr">
        <is>
          <t>10,000,000 Subs</t>
        </is>
      </c>
      <c r="E5" s="98" t="n"/>
      <c r="F5" s="94" t="n"/>
      <c r="G5" s="91" t="inlineStr">
        <is>
          <t>₱400M / year</t>
        </is>
      </c>
      <c r="H5" s="98" t="n"/>
      <c r="I5" s="94" t="n"/>
      <c r="J5" s="86" t="inlineStr">
        <is>
          <t>$14,000 / site</t>
        </is>
      </c>
      <c r="K5" s="98" t="n"/>
      <c r="L5" s="94" t="n"/>
      <c r="M5" s="93" t="inlineStr">
        <is>
          <t>Scenario 4 (S4)</t>
        </is>
      </c>
      <c r="N5" s="98" t="n"/>
      <c r="O5" s="94" t="n"/>
    </row>
    <row r="6">
      <c r="A6" s="90" t="inlineStr">
        <is>
          <t>1,000 Y1 + 1,000/yr Y2-10</t>
        </is>
      </c>
      <c r="B6" s="98" t="n"/>
      <c r="C6" s="94" t="n"/>
      <c r="D6" s="90" t="inlineStr">
        <is>
          <t>1,000 subs/site design capacity</t>
        </is>
      </c>
      <c r="E6" s="98" t="n"/>
      <c r="F6" s="94" t="n"/>
      <c r="G6" s="90" t="inlineStr">
        <is>
          <t>$7,272,727 USD/yr unphased</t>
        </is>
      </c>
      <c r="H6" s="98" t="n"/>
      <c r="I6" s="94" t="n"/>
      <c r="J6" s="90" t="inlineStr">
        <is>
          <t>$8k Core + $6k BSS; 15% AMC</t>
        </is>
      </c>
      <c r="K6" s="98" t="n"/>
      <c r="L6" s="94" t="n"/>
      <c r="M6" s="90" t="inlineStr">
        <is>
          <t>Leased + Starlink + Deferred</t>
        </is>
      </c>
      <c r="N6" s="98" t="n"/>
      <c r="O6" s="94" t="n"/>
    </row>
    <row r="7"/>
    <row r="8" ht="32" customHeight="1">
      <c r="A8" s="13" t="inlineStr">
        <is>
          <t>Scenario ID</t>
        </is>
      </c>
      <c r="B8" s="13" t="inlineStr">
        <is>
          <t>Tower Infrastructure</t>
        </is>
      </c>
      <c r="C8" s="13" t="inlineStr">
        <is>
          <t>Backhaul Technology</t>
        </is>
      </c>
      <c r="D8" s="13" t="inlineStr">
        <is>
          <t>Payment Terms</t>
        </is>
      </c>
      <c r="E8" s="13" t="inlineStr">
        <is>
          <t>10-Yr Total Revenue ($M)</t>
        </is>
      </c>
      <c r="F8" s="13" t="inlineStr">
        <is>
          <t>10-Yr Total OPEX ($M)</t>
        </is>
      </c>
      <c r="G8" s="13" t="inlineStr">
        <is>
          <t>10-Yr Total CAPEX ($M)</t>
        </is>
      </c>
      <c r="H8" s="13" t="inlineStr">
        <is>
          <t>10-Yr EBITDA ($M)</t>
        </is>
      </c>
      <c r="I8" s="13" t="inlineStr">
        <is>
          <t>EBITDA Margin (%)</t>
        </is>
      </c>
      <c r="J8" s="13" t="inlineStr">
        <is>
          <t>10-Yr Free Cash Flow ($M)</t>
        </is>
      </c>
      <c r="K8" s="13" t="inlineStr">
        <is>
          <t>Peak Funding Deficit ($M)</t>
        </is>
      </c>
      <c r="L8" s="13" t="inlineStr">
        <is>
          <t>10-Yr NPV @ 12% ($M)</t>
        </is>
      </c>
      <c r="M8" s="13" t="inlineStr">
        <is>
          <t>10-Yr Project IRR (%)</t>
        </is>
      </c>
      <c r="N8" s="13" t="inlineStr">
        <is>
          <t>Simple Payback (Yrs)</t>
        </is>
      </c>
      <c r="O8" s="13" t="inlineStr">
        <is>
          <t>ROI (Cash / Peak)</t>
        </is>
      </c>
      <c r="P8" s="13" t="inlineStr">
        <is>
          <t>Decision Verdict</t>
        </is>
      </c>
    </row>
    <row r="9">
      <c r="A9" s="6" t="inlineStr">
        <is>
          <t>S1</t>
        </is>
      </c>
      <c r="B9" s="14" t="inlineStr">
        <is>
          <t>Leased Towers</t>
        </is>
      </c>
      <c r="C9" s="14" t="inlineStr">
        <is>
          <t>FOC Backhaul</t>
        </is>
      </c>
      <c r="D9" s="14" t="inlineStr">
        <is>
          <t>Non-Deferred</t>
        </is>
      </c>
      <c r="E9" s="96">
        <f>'Master Comparison (8 Scenarios)'!E5</f>
        <v/>
      </c>
      <c r="F9" s="96">
        <f>'Master Comparison (8 Scenarios)'!F5</f>
        <v/>
      </c>
      <c r="G9" s="96">
        <f>'Master Comparison (8 Scenarios)'!G5</f>
        <v/>
      </c>
      <c r="H9" s="96">
        <f>'Master Comparison (8 Scenarios)'!H5</f>
        <v/>
      </c>
      <c r="I9" s="9">
        <f>'Master Comparison (8 Scenarios)'!I5</f>
        <v/>
      </c>
      <c r="J9" s="96">
        <f>'Master Comparison (8 Scenarios)'!J5</f>
        <v/>
      </c>
      <c r="K9" s="96">
        <f>'Master Comparison (8 Scenarios)'!K5</f>
        <v/>
      </c>
      <c r="L9" s="96">
        <f>'Master Comparison (8 Scenarios)'!L5</f>
        <v/>
      </c>
      <c r="M9" s="9">
        <f>'Master Comparison (8 Scenarios)'!M5</f>
        <v/>
      </c>
      <c r="N9" s="97">
        <f>'Master Comparison (8 Scenarios)'!N5</f>
        <v/>
      </c>
      <c r="O9" s="99">
        <f>'Master Comparison (8 Scenarios)'!O5</f>
        <v/>
      </c>
      <c r="P9" s="16">
        <f>'Master Comparison (8 Scenarios)'!P5</f>
        <v/>
      </c>
    </row>
    <row r="10">
      <c r="A10" s="6" t="inlineStr">
        <is>
          <t>S2</t>
        </is>
      </c>
      <c r="B10" s="14" t="inlineStr">
        <is>
          <t>Leased Towers</t>
        </is>
      </c>
      <c r="C10" s="14" t="inlineStr">
        <is>
          <t>FOC Backhaul</t>
        </is>
      </c>
      <c r="D10" s="14" t="inlineStr">
        <is>
          <t>Deferred</t>
        </is>
      </c>
      <c r="E10" s="96">
        <f>'Master Comparison (8 Scenarios)'!E6</f>
        <v/>
      </c>
      <c r="F10" s="96">
        <f>'Master Comparison (8 Scenarios)'!F6</f>
        <v/>
      </c>
      <c r="G10" s="96">
        <f>'Master Comparison (8 Scenarios)'!G6</f>
        <v/>
      </c>
      <c r="H10" s="96">
        <f>'Master Comparison (8 Scenarios)'!H6</f>
        <v/>
      </c>
      <c r="I10" s="9">
        <f>'Master Comparison (8 Scenarios)'!I6</f>
        <v/>
      </c>
      <c r="J10" s="96">
        <f>'Master Comparison (8 Scenarios)'!J6</f>
        <v/>
      </c>
      <c r="K10" s="96">
        <f>'Master Comparison (8 Scenarios)'!K6</f>
        <v/>
      </c>
      <c r="L10" s="96">
        <f>'Master Comparison (8 Scenarios)'!L6</f>
        <v/>
      </c>
      <c r="M10" s="9">
        <f>'Master Comparison (8 Scenarios)'!M6</f>
        <v/>
      </c>
      <c r="N10" s="97">
        <f>'Master Comparison (8 Scenarios)'!N6</f>
        <v/>
      </c>
      <c r="O10" s="99">
        <f>'Master Comparison (8 Scenarios)'!O6</f>
        <v/>
      </c>
      <c r="P10" s="16">
        <f>'Master Comparison (8 Scenarios)'!P6</f>
        <v/>
      </c>
    </row>
    <row r="11">
      <c r="A11" s="6" t="inlineStr">
        <is>
          <t>S3</t>
        </is>
      </c>
      <c r="B11" s="14" t="inlineStr">
        <is>
          <t>Leased Towers</t>
        </is>
      </c>
      <c r="C11" s="14" t="inlineStr">
        <is>
          <t>Starlink Backhaul</t>
        </is>
      </c>
      <c r="D11" s="14" t="inlineStr">
        <is>
          <t>Non-Deferred</t>
        </is>
      </c>
      <c r="E11" s="96">
        <f>'Master Comparison (8 Scenarios)'!E7</f>
        <v/>
      </c>
      <c r="F11" s="96">
        <f>'Master Comparison (8 Scenarios)'!F7</f>
        <v/>
      </c>
      <c r="G11" s="96">
        <f>'Master Comparison (8 Scenarios)'!G7</f>
        <v/>
      </c>
      <c r="H11" s="96">
        <f>'Master Comparison (8 Scenarios)'!H7</f>
        <v/>
      </c>
      <c r="I11" s="9">
        <f>'Master Comparison (8 Scenarios)'!I7</f>
        <v/>
      </c>
      <c r="J11" s="96">
        <f>'Master Comparison (8 Scenarios)'!J7</f>
        <v/>
      </c>
      <c r="K11" s="96">
        <f>'Master Comparison (8 Scenarios)'!K7</f>
        <v/>
      </c>
      <c r="L11" s="96">
        <f>'Master Comparison (8 Scenarios)'!L7</f>
        <v/>
      </c>
      <c r="M11" s="9">
        <f>'Master Comparison (8 Scenarios)'!M7</f>
        <v/>
      </c>
      <c r="N11" s="97">
        <f>'Master Comparison (8 Scenarios)'!N7</f>
        <v/>
      </c>
      <c r="O11" s="99">
        <f>'Master Comparison (8 Scenarios)'!O7</f>
        <v/>
      </c>
      <c r="P11" s="11">
        <f>'Master Comparison (8 Scenarios)'!P7</f>
        <v/>
      </c>
    </row>
    <row r="12">
      <c r="A12" s="17" t="inlineStr">
        <is>
          <t>S4</t>
        </is>
      </c>
      <c r="B12" s="18" t="inlineStr">
        <is>
          <t>Leased Towers</t>
        </is>
      </c>
      <c r="C12" s="18" t="inlineStr">
        <is>
          <t>Starlink Backhaul</t>
        </is>
      </c>
      <c r="D12" s="18" t="inlineStr">
        <is>
          <t>Deferred</t>
        </is>
      </c>
      <c r="E12" s="100">
        <f>'Master Comparison (8 Scenarios)'!E8</f>
        <v/>
      </c>
      <c r="F12" s="100">
        <f>'Master Comparison (8 Scenarios)'!F8</f>
        <v/>
      </c>
      <c r="G12" s="100">
        <f>'Master Comparison (8 Scenarios)'!G8</f>
        <v/>
      </c>
      <c r="H12" s="100">
        <f>'Master Comparison (8 Scenarios)'!H8</f>
        <v/>
      </c>
      <c r="I12" s="20">
        <f>'Master Comparison (8 Scenarios)'!I8</f>
        <v/>
      </c>
      <c r="J12" s="100">
        <f>'Master Comparison (8 Scenarios)'!J8</f>
        <v/>
      </c>
      <c r="K12" s="100">
        <f>'Master Comparison (8 Scenarios)'!K8</f>
        <v/>
      </c>
      <c r="L12" s="100">
        <f>'Master Comparison (8 Scenarios)'!L8</f>
        <v/>
      </c>
      <c r="M12" s="20">
        <f>'Master Comparison (8 Scenarios)'!M8</f>
        <v/>
      </c>
      <c r="N12" s="101">
        <f>'Master Comparison (8 Scenarios)'!N8</f>
        <v/>
      </c>
      <c r="O12" s="102">
        <f>'Master Comparison (8 Scenarios)'!O8</f>
        <v/>
      </c>
      <c r="P12" s="23">
        <f>'Master Comparison (8 Scenarios)'!P8</f>
        <v/>
      </c>
    </row>
    <row r="13">
      <c r="A13" s="6" t="inlineStr">
        <is>
          <t>S5</t>
        </is>
      </c>
      <c r="B13" s="14" t="inlineStr">
        <is>
          <t>Own Build (Monopoles)</t>
        </is>
      </c>
      <c r="C13" s="14" t="inlineStr">
        <is>
          <t>FOC Backhaul</t>
        </is>
      </c>
      <c r="D13" s="14" t="inlineStr">
        <is>
          <t>Non-Deferred</t>
        </is>
      </c>
      <c r="E13" s="96">
        <f>'Master Comparison (8 Scenarios)'!E9</f>
        <v/>
      </c>
      <c r="F13" s="96">
        <f>'Master Comparison (8 Scenarios)'!F9</f>
        <v/>
      </c>
      <c r="G13" s="96">
        <f>'Master Comparison (8 Scenarios)'!G9</f>
        <v/>
      </c>
      <c r="H13" s="96">
        <f>'Master Comparison (8 Scenarios)'!H9</f>
        <v/>
      </c>
      <c r="I13" s="9">
        <f>'Master Comparison (8 Scenarios)'!I9</f>
        <v/>
      </c>
      <c r="J13" s="96">
        <f>'Master Comparison (8 Scenarios)'!J9</f>
        <v/>
      </c>
      <c r="K13" s="96">
        <f>'Master Comparison (8 Scenarios)'!K9</f>
        <v/>
      </c>
      <c r="L13" s="96">
        <f>'Master Comparison (8 Scenarios)'!L9</f>
        <v/>
      </c>
      <c r="M13" s="9">
        <f>'Master Comparison (8 Scenarios)'!M9</f>
        <v/>
      </c>
      <c r="N13" s="97">
        <f>'Master Comparison (8 Scenarios)'!N9</f>
        <v/>
      </c>
      <c r="O13" s="99">
        <f>'Master Comparison (8 Scenarios)'!O9</f>
        <v/>
      </c>
      <c r="P13" s="16">
        <f>'Master Comparison (8 Scenarios)'!P9</f>
        <v/>
      </c>
    </row>
    <row r="14">
      <c r="A14" s="6" t="inlineStr">
        <is>
          <t>S6</t>
        </is>
      </c>
      <c r="B14" s="14" t="inlineStr">
        <is>
          <t>Own Build (Monopoles)</t>
        </is>
      </c>
      <c r="C14" s="14" t="inlineStr">
        <is>
          <t>FOC Backhaul</t>
        </is>
      </c>
      <c r="D14" s="14" t="inlineStr">
        <is>
          <t>Deferred</t>
        </is>
      </c>
      <c r="E14" s="96">
        <f>'Master Comparison (8 Scenarios)'!E10</f>
        <v/>
      </c>
      <c r="F14" s="96">
        <f>'Master Comparison (8 Scenarios)'!F10</f>
        <v/>
      </c>
      <c r="G14" s="96">
        <f>'Master Comparison (8 Scenarios)'!G10</f>
        <v/>
      </c>
      <c r="H14" s="96">
        <f>'Master Comparison (8 Scenarios)'!H10</f>
        <v/>
      </c>
      <c r="I14" s="9">
        <f>'Master Comparison (8 Scenarios)'!I10</f>
        <v/>
      </c>
      <c r="J14" s="96">
        <f>'Master Comparison (8 Scenarios)'!J10</f>
        <v/>
      </c>
      <c r="K14" s="96">
        <f>'Master Comparison (8 Scenarios)'!K10</f>
        <v/>
      </c>
      <c r="L14" s="96">
        <f>'Master Comparison (8 Scenarios)'!L10</f>
        <v/>
      </c>
      <c r="M14" s="9">
        <f>'Master Comparison (8 Scenarios)'!M10</f>
        <v/>
      </c>
      <c r="N14" s="97">
        <f>'Master Comparison (8 Scenarios)'!N10</f>
        <v/>
      </c>
      <c r="O14" s="99">
        <f>'Master Comparison (8 Scenarios)'!O10</f>
        <v/>
      </c>
      <c r="P14" s="16">
        <f>'Master Comparison (8 Scenarios)'!P10</f>
        <v/>
      </c>
    </row>
    <row r="15">
      <c r="A15" s="6" t="inlineStr">
        <is>
          <t>S7</t>
        </is>
      </c>
      <c r="B15" s="14" t="inlineStr">
        <is>
          <t>Own Build (Monopoles)</t>
        </is>
      </c>
      <c r="C15" s="14" t="inlineStr">
        <is>
          <t>Starlink Backhaul</t>
        </is>
      </c>
      <c r="D15" s="14" t="inlineStr">
        <is>
          <t>Non-Deferred</t>
        </is>
      </c>
      <c r="E15" s="96">
        <f>'Master Comparison (8 Scenarios)'!E11</f>
        <v/>
      </c>
      <c r="F15" s="96">
        <f>'Master Comparison (8 Scenarios)'!F11</f>
        <v/>
      </c>
      <c r="G15" s="96">
        <f>'Master Comparison (8 Scenarios)'!G11</f>
        <v/>
      </c>
      <c r="H15" s="96">
        <f>'Master Comparison (8 Scenarios)'!H11</f>
        <v/>
      </c>
      <c r="I15" s="9">
        <f>'Master Comparison (8 Scenarios)'!I11</f>
        <v/>
      </c>
      <c r="J15" s="96">
        <f>'Master Comparison (8 Scenarios)'!J11</f>
        <v/>
      </c>
      <c r="K15" s="96">
        <f>'Master Comparison (8 Scenarios)'!K11</f>
        <v/>
      </c>
      <c r="L15" s="96">
        <f>'Master Comparison (8 Scenarios)'!L11</f>
        <v/>
      </c>
      <c r="M15" s="9">
        <f>'Master Comparison (8 Scenarios)'!M11</f>
        <v/>
      </c>
      <c r="N15" s="97">
        <f>'Master Comparison (8 Scenarios)'!N11</f>
        <v/>
      </c>
      <c r="O15" s="99">
        <f>'Master Comparison (8 Scenarios)'!O11</f>
        <v/>
      </c>
      <c r="P15" s="16">
        <f>'Master Comparison (8 Scenarios)'!P11</f>
        <v/>
      </c>
    </row>
    <row r="16">
      <c r="A16" s="6" t="inlineStr">
        <is>
          <t>S8</t>
        </is>
      </c>
      <c r="B16" s="14" t="inlineStr">
        <is>
          <t>Own Build (Monopoles)</t>
        </is>
      </c>
      <c r="C16" s="14" t="inlineStr">
        <is>
          <t>Starlink Backhaul</t>
        </is>
      </c>
      <c r="D16" s="14" t="inlineStr">
        <is>
          <t>Deferred</t>
        </is>
      </c>
      <c r="E16" s="96">
        <f>'Master Comparison (8 Scenarios)'!E12</f>
        <v/>
      </c>
      <c r="F16" s="96">
        <f>'Master Comparison (8 Scenarios)'!F12</f>
        <v/>
      </c>
      <c r="G16" s="96">
        <f>'Master Comparison (8 Scenarios)'!G12</f>
        <v/>
      </c>
      <c r="H16" s="96">
        <f>'Master Comparison (8 Scenarios)'!H12</f>
        <v/>
      </c>
      <c r="I16" s="9">
        <f>'Master Comparison (8 Scenarios)'!I12</f>
        <v/>
      </c>
      <c r="J16" s="96">
        <f>'Master Comparison (8 Scenarios)'!J12</f>
        <v/>
      </c>
      <c r="K16" s="96">
        <f>'Master Comparison (8 Scenarios)'!K12</f>
        <v/>
      </c>
      <c r="L16" s="96">
        <f>'Master Comparison (8 Scenarios)'!L12</f>
        <v/>
      </c>
      <c r="M16" s="9">
        <f>'Master Comparison (8 Scenarios)'!M12</f>
        <v/>
      </c>
      <c r="N16" s="97">
        <f>'Master Comparison (8 Scenarios)'!N12</f>
        <v/>
      </c>
      <c r="O16" s="99">
        <f>'Master Comparison (8 Scenarios)'!O12</f>
        <v/>
      </c>
      <c r="P16" s="16">
        <f>'Master Comparison (8 Scenarios)'!P12</f>
        <v/>
      </c>
    </row>
    <row r="17"/>
    <row r="18" ht="16" customHeight="1">
      <c r="A18" s="3" t="inlineStr">
        <is>
          <t>STRATEGIC EVALUATION &amp; CAPITAL ALLOCATION FINDINGS</t>
        </is>
      </c>
    </row>
    <row r="19">
      <c r="A19" s="24" t="inlineStr">
        <is>
          <t>1. Starlink Transport Advantage: Starlink backhaul delivers $1,112.1 Million ($1.11 Billion) in operating savings over 10 years compared to leased FOC fiber.</t>
        </is>
      </c>
    </row>
    <row r="20">
      <c r="A20" s="24" t="inlineStr">
        <is>
          <t>2. TowerCo Colocation vs. Own Build: Colocating on existing towers saves $721.4 Million in upfront civil monopole and power plant construction capital.</t>
        </is>
      </c>
    </row>
    <row r="21">
      <c r="A21" s="24" t="inlineStr">
        <is>
          <t>3. Equipment Vendor Financing: 20% down + 4-year deferred vendor credit cuts Year 1 cash burn by 68% ($52.4M) and provides a $95.9M peak liquidity buffer.</t>
        </is>
      </c>
    </row>
    <row r="22">
      <c r="A22" s="24" t="inlineStr">
        <is>
          <t>4. Scenario 4 (S4) Standout Viability: Generates $1,737.5M in EBITDA and +$268.3M in Free Cash Flow; recommended as the primary corporate deployment model.</t>
        </is>
      </c>
    </row>
  </sheetData>
  <mergeCells count="15">
    <mergeCell ref="J5:L5"/>
    <mergeCell ref="J6:L6"/>
    <mergeCell ref="D5:F5"/>
    <mergeCell ref="A5:C5"/>
    <mergeCell ref="G5:I5"/>
    <mergeCell ref="G6:I6"/>
    <mergeCell ref="M6:O6"/>
    <mergeCell ref="M4:O4"/>
    <mergeCell ref="M5:O5"/>
    <mergeCell ref="D4:F4"/>
    <mergeCell ref="A6:C6"/>
    <mergeCell ref="G4:I4"/>
    <mergeCell ref="J4:L4"/>
    <mergeCell ref="A4:C4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topLeftCell="F1" workbookViewId="0">
      <selection activeCell="L16" sqref="L16"/>
    </sheetView>
  </sheetViews>
  <sheetFormatPr baseColWidth="10" defaultColWidth="8.83203125" defaultRowHeight="15"/>
  <cols>
    <col width="92.1640625" bestFit="1" customWidth="1" min="1" max="1"/>
    <col width="44.83203125" bestFit="1" customWidth="1" min="2" max="2"/>
    <col width="22.33203125" bestFit="1" customWidth="1" min="3" max="3"/>
    <col width="19.83203125" bestFit="1" customWidth="1" min="4" max="4"/>
    <col width="55" bestFit="1" customWidth="1" min="5" max="5"/>
    <col width="56.6640625" bestFit="1" customWidth="1" min="6" max="6"/>
    <col width="21.1640625" bestFit="1" customWidth="1" min="7" max="7"/>
    <col width="19.33203125" bestFit="1" customWidth="1" min="8" max="8"/>
    <col width="20.83203125" bestFit="1" customWidth="1" min="9" max="9"/>
    <col width="17" bestFit="1" customWidth="1" min="10" max="10"/>
    <col width="16.83203125" bestFit="1" customWidth="1" min="11" max="11"/>
    <col width="48.1640625" bestFit="1" customWidth="1" min="12" max="12"/>
  </cols>
  <sheetData>
    <row r="1" ht="21" customHeight="1">
      <c r="A1" s="1" t="inlineStr">
        <is>
          <t>FWA 5G n50 (80 MHz) — Table 4: Commercial Viability &amp; What Makes This a GO</t>
        </is>
      </c>
    </row>
    <row r="2">
      <c r="A2" s="2" t="inlineStr">
        <is>
          <t>Single Subscriber Retail Rate Sensitivity, Breakeven Analysis &amp; Return Expansion for Recommended Case (S4: Leased + Starlink + Deferred)</t>
        </is>
      </c>
    </row>
    <row r="3"/>
    <row r="4" ht="16" customHeight="1">
      <c r="A4" s="3" t="inlineStr">
        <is>
          <t>1. COST BREAKEVEN BENCHMARKS (10,000 SITES / 10,000,000 CAPACITY)</t>
        </is>
      </c>
    </row>
    <row r="5" ht="32" customHeight="1">
      <c r="A5" s="13" t="inlineStr">
        <is>
          <t>Cost Benchmark Metric</t>
        </is>
      </c>
      <c r="B5" s="13" t="inlineStr">
        <is>
          <t>Derivation / Formula Basis</t>
        </is>
      </c>
      <c r="C5" s="13" t="inlineStr">
        <is>
          <t>Starlink Backhaul (PHP/mo)</t>
        </is>
      </c>
      <c r="D5" s="13" t="inlineStr">
        <is>
          <t>Leased FOC Backhaul (PHP/mo)</t>
        </is>
      </c>
      <c r="E5" s="13" t="inlineStr">
        <is>
          <t>Strategic Meaning &amp; Economic Threshold</t>
        </is>
      </c>
    </row>
    <row r="6">
      <c r="A6" s="7" t="inlineStr">
        <is>
          <t>Cash OPEX Breakeven</t>
        </is>
      </c>
      <c r="B6" s="85" t="inlineStr">
        <is>
          <t>Annual Operating Costs / (12 * Active Subs)</t>
        </is>
      </c>
      <c r="C6" s="23" t="inlineStr">
        <is>
          <t>₱318 / month</t>
        </is>
      </c>
      <c r="D6" s="11" t="inlineStr">
        <is>
          <t>₱418 / month</t>
        </is>
      </c>
      <c r="E6" s="25" t="inlineStr">
        <is>
          <t>Minimum cash subscription rate required to operate the network without cash burn</t>
        </is>
      </c>
    </row>
    <row r="7">
      <c r="A7" s="7" t="inlineStr">
        <is>
          <t>Fully Loaded Breakeven (OPEX + Depr)</t>
        </is>
      </c>
      <c r="B7" s="85" t="inlineStr">
        <is>
          <t>(Annual OPEX + Annual Depreciation) / (12 * Active Subs)</t>
        </is>
      </c>
      <c r="C7" s="23" t="inlineStr">
        <is>
          <t>₱412 / month</t>
        </is>
      </c>
      <c r="D7" s="11" t="inlineStr">
        <is>
          <t>₱512 / month</t>
        </is>
      </c>
      <c r="E7" s="25" t="inlineStr">
        <is>
          <t>Zero accounting profit threshold (EBIT = 0); covers all equipment replacement costs</t>
        </is>
      </c>
    </row>
    <row r="8">
      <c r="A8" s="7" t="inlineStr">
        <is>
          <t>12% WACC Hurdle Rate</t>
        </is>
      </c>
      <c r="B8" s="85" t="inlineStr">
        <is>
          <t>OPEX + Depreciation + 12% Cost of Capital on Total Assets</t>
        </is>
      </c>
      <c r="C8" s="23" t="inlineStr">
        <is>
          <t>₱585 / month</t>
        </is>
      </c>
      <c r="D8" s="11" t="inlineStr">
        <is>
          <t>₱685 / month</t>
        </is>
      </c>
      <c r="E8" s="25" t="inlineStr">
        <is>
          <t>Minimum rate to clear 12.0% corporate WACC hurdle at full capacity utilization</t>
        </is>
      </c>
    </row>
    <row r="9"/>
    <row r="10" ht="16" customHeight="1">
      <c r="A10" s="3" t="inlineStr">
        <is>
          <t>2. SCENARIO 4 SENSITIVITY: SINGLE RETAIL RATE vs. PROJECT FINANCIAL RETURNS (10,000 SITES)</t>
        </is>
      </c>
    </row>
    <row r="11" ht="32" customHeight="1">
      <c r="A11" s="13" t="inlineStr">
        <is>
          <t>Single Retail Rate (PHP)</t>
        </is>
      </c>
      <c r="B11" s="13" t="inlineStr">
        <is>
          <t>Monthly ARPU (USD)</t>
        </is>
      </c>
      <c r="C11" s="13" t="inlineStr">
        <is>
          <t>10-Yr Total Revenue ($M)</t>
        </is>
      </c>
      <c r="D11" s="13" t="inlineStr">
        <is>
          <t>10-Yr Total OPEX ($M)</t>
        </is>
      </c>
      <c r="E11" s="13" t="inlineStr">
        <is>
          <t>10-Yr Total EBITDA ($M)</t>
        </is>
      </c>
      <c r="F11" s="13" t="inlineStr">
        <is>
          <t>EBITDA Margin (%)</t>
        </is>
      </c>
      <c r="G11" s="13" t="inlineStr">
        <is>
          <t>10-Yr Free Cash Flow ($M)</t>
        </is>
      </c>
      <c r="H11" s="13" t="inlineStr">
        <is>
          <t>Peak Funding Req. ($M)</t>
        </is>
      </c>
      <c r="I11" s="13" t="inlineStr">
        <is>
          <t>10-Yr Project NPV @ 12% ($M)</t>
        </is>
      </c>
      <c r="J11" s="13" t="inlineStr">
        <is>
          <t>10-Yr Project IRR (%)</t>
        </is>
      </c>
      <c r="K11" s="13" t="inlineStr">
        <is>
          <t>Simple Payback (Yrs)</t>
        </is>
      </c>
      <c r="L11" s="13" t="inlineStr">
        <is>
          <t>Commercial Assessment &amp; Decision Verdict</t>
        </is>
      </c>
    </row>
    <row r="12">
      <c r="A12" s="26" t="n">
        <v>499</v>
      </c>
      <c r="B12" s="27">
        <f>A12/'Assumptions &amp; Levers'!$C$5</f>
        <v/>
      </c>
      <c r="C12" s="96">
        <f>S4_Leased_Star_Deferred!N8*B12*12*10/1000000</f>
        <v/>
      </c>
      <c r="D12" s="96">
        <f>S4_Leased_Star_Deferred!N29/1000000</f>
        <v/>
      </c>
      <c r="E12" s="96">
        <f>C12-D12</f>
        <v/>
      </c>
      <c r="F12" s="9">
        <f>E12/C12</f>
        <v/>
      </c>
      <c r="G12" s="96" t="n">
        <v>-587.7</v>
      </c>
      <c r="H12" s="96" t="n">
        <v>-748</v>
      </c>
      <c r="I12" s="96" t="n">
        <v>-478.6</v>
      </c>
      <c r="J12" s="28" t="inlineStr">
        <is>
          <t>N/A (&lt;0%)</t>
        </is>
      </c>
      <c r="K12" s="97" t="n">
        <v>11</v>
      </c>
      <c r="L12" s="29" t="inlineStr">
        <is>
          <t>NO-GO: Below commercial viability threshold</t>
        </is>
      </c>
    </row>
    <row r="13">
      <c r="A13" s="26" t="n">
        <v>549</v>
      </c>
      <c r="B13" s="27">
        <f>A13/'Assumptions &amp; Levers'!$C$5</f>
        <v/>
      </c>
      <c r="C13" s="96">
        <f>S4_Leased_Star_Deferred!N8*B13*12*10/1000000</f>
        <v/>
      </c>
      <c r="D13" s="96">
        <f>S4_Leased_Star_Deferred!N29/1000000</f>
        <v/>
      </c>
      <c r="E13" s="96">
        <f>C13-D13</f>
        <v/>
      </c>
      <c r="F13" s="9">
        <f>E13/C13</f>
        <v/>
      </c>
      <c r="G13" s="96" t="n">
        <v>-159.7</v>
      </c>
      <c r="H13" s="96" t="n">
        <v>-629.5</v>
      </c>
      <c r="I13" s="96" t="n">
        <v>-280.3</v>
      </c>
      <c r="J13" s="28" t="inlineStr">
        <is>
          <t>N/A (&lt;0%)</t>
        </is>
      </c>
      <c r="K13" s="97" t="n">
        <v>11</v>
      </c>
      <c r="L13" s="29" t="inlineStr">
        <is>
          <t>NO-GO: Operational cash breakeven; negative equity return</t>
        </is>
      </c>
    </row>
    <row r="14">
      <c r="A14" s="26" t="n">
        <v>599</v>
      </c>
      <c r="B14" s="27">
        <f>A14/'Assumptions &amp; Levers'!$C$5</f>
        <v/>
      </c>
      <c r="C14" s="96">
        <f>S4_Leased_Star_Deferred!N8*B14*12*10/1000000</f>
        <v/>
      </c>
      <c r="D14" s="96">
        <f>S4_Leased_Star_Deferred!N29/1000000</f>
        <v/>
      </c>
      <c r="E14" s="96">
        <f>C14-D14</f>
        <v/>
      </c>
      <c r="F14" s="9">
        <f>E14/C14</f>
        <v/>
      </c>
      <c r="G14" s="96" t="n">
        <v>268.3</v>
      </c>
      <c r="H14" s="96" t="n">
        <v>-511</v>
      </c>
      <c r="I14" s="96" t="n">
        <v>-82.09999999999999</v>
      </c>
      <c r="J14" s="30" t="n">
        <v>0.075</v>
      </c>
      <c r="K14" s="97" t="n">
        <v>8.699999999999999</v>
      </c>
      <c r="L14" s="31" t="inlineStr">
        <is>
          <t>CONDITIONAL GO: Operational cash positive; sub-12% WACC hurdle</t>
        </is>
      </c>
    </row>
    <row r="15">
      <c r="A15" s="32" t="n">
        <v>649</v>
      </c>
      <c r="B15" s="33">
        <f>A15/'Assumptions &amp; Levers'!$C$5</f>
        <v/>
      </c>
      <c r="C15" s="100">
        <f>S4_Leased_Star_Deferred!N8*B15*12*10/1000000</f>
        <v/>
      </c>
      <c r="D15" s="100">
        <f>S4_Leased_Star_Deferred!N29/1000000</f>
        <v/>
      </c>
      <c r="E15" s="100">
        <f>C15-D15</f>
        <v/>
      </c>
      <c r="F15" s="20">
        <f>E15/C15</f>
        <v/>
      </c>
      <c r="G15" s="100" t="n">
        <v>653.9</v>
      </c>
      <c r="H15" s="100" t="n">
        <v>-439.4</v>
      </c>
      <c r="I15" s="100" t="n">
        <v>95.3</v>
      </c>
      <c r="J15" s="34" t="n">
        <v>0.163</v>
      </c>
      <c r="K15" s="101" t="n">
        <v>7.5</v>
      </c>
      <c r="L15" s="35" t="inlineStr">
        <is>
          <t>GO: Clears 12% WACC Hurdle with +$95.3M NPV (+₱50 Uplift)</t>
        </is>
      </c>
    </row>
    <row r="16">
      <c r="A16" s="36" t="n">
        <v>699</v>
      </c>
      <c r="B16" s="37">
        <f>A16/'Assumptions &amp; Levers'!$C$5</f>
        <v/>
      </c>
      <c r="C16" s="103">
        <f>S4_Leased_Star_Deferred!N8*B16*12*10/1000000</f>
        <v/>
      </c>
      <c r="D16" s="103">
        <f>S4_Leased_Star_Deferred!N29/1000000</f>
        <v/>
      </c>
      <c r="E16" s="103">
        <f>C16-D16</f>
        <v/>
      </c>
      <c r="F16" s="39">
        <f>E16/C16</f>
        <v/>
      </c>
      <c r="G16" s="103" t="n">
        <v>1039.1</v>
      </c>
      <c r="H16" s="103" t="n">
        <v>-387.8</v>
      </c>
      <c r="I16" s="103" t="n">
        <v>270.5</v>
      </c>
      <c r="J16" s="40" t="n">
        <v>0.252</v>
      </c>
      <c r="K16" s="104" t="n">
        <v>6.6</v>
      </c>
      <c r="L16" s="35" t="inlineStr">
        <is>
          <t>★ COMPELLING GO: Target Commercial Sweet Spot (High Return)</t>
        </is>
      </c>
    </row>
    <row r="17">
      <c r="A17" s="32" t="n">
        <v>749</v>
      </c>
      <c r="B17" s="33">
        <f>A17/'Assumptions &amp; Levers'!$C$5</f>
        <v/>
      </c>
      <c r="C17" s="100">
        <f>S4_Leased_Star_Deferred!N8*B17*12*10/1000000</f>
        <v/>
      </c>
      <c r="D17" s="100">
        <f>S4_Leased_Star_Deferred!N29/1000000</f>
        <v/>
      </c>
      <c r="E17" s="100">
        <f>C17-D17</f>
        <v/>
      </c>
      <c r="F17" s="20">
        <f>E17/C17</f>
        <v/>
      </c>
      <c r="G17" s="100" t="n">
        <v>1424.4</v>
      </c>
      <c r="H17" s="100" t="n">
        <v>-348</v>
      </c>
      <c r="I17" s="100" t="n">
        <v>444.2</v>
      </c>
      <c r="J17" s="34" t="n">
        <v>0.327</v>
      </c>
      <c r="K17" s="101" t="n">
        <v>6</v>
      </c>
      <c r="L17" s="35" t="inlineStr">
        <is>
          <t>STRONG GO: High-Return Regional Profile</t>
        </is>
      </c>
    </row>
    <row r="18">
      <c r="A18" s="32" t="n">
        <v>799</v>
      </c>
      <c r="B18" s="33">
        <f>A18/'Assumptions &amp; Levers'!$C$5</f>
        <v/>
      </c>
      <c r="C18" s="100">
        <f>S4_Leased_Star_Deferred!N8*B18*12*10/1000000</f>
        <v/>
      </c>
      <c r="D18" s="100">
        <f>S4_Leased_Star_Deferred!N29/1000000</f>
        <v/>
      </c>
      <c r="E18" s="100">
        <f>C18-D18</f>
        <v/>
      </c>
      <c r="F18" s="20">
        <f>E18/C18</f>
        <v/>
      </c>
      <c r="G18" s="100" t="n">
        <v>1809.8</v>
      </c>
      <c r="H18" s="100" t="n">
        <v>-312.7</v>
      </c>
      <c r="I18" s="100" t="n">
        <v>617.9</v>
      </c>
      <c r="J18" s="34" t="n">
        <v>0.401</v>
      </c>
      <c r="K18" s="101" t="n">
        <v>5.5</v>
      </c>
      <c r="L18" s="35" t="inlineStr">
        <is>
          <t>EXCEPTIONAL GO: Outstanding Capital Return Profile</t>
        </is>
      </c>
    </row>
    <row r="19">
      <c r="A19" s="32" t="n">
        <v>849</v>
      </c>
      <c r="B19" s="33">
        <f>A19/'Assumptions &amp; Levers'!$C$5</f>
        <v/>
      </c>
      <c r="C19" s="100">
        <f>S4_Leased_Star_Deferred!N8*B19*12*10/1000000</f>
        <v/>
      </c>
      <c r="D19" s="100">
        <f>S4_Leased_Star_Deferred!N29/1000000</f>
        <v/>
      </c>
      <c r="E19" s="100">
        <f>C19-D19</f>
        <v/>
      </c>
      <c r="F19" s="20">
        <f>E19/C19</f>
        <v/>
      </c>
      <c r="G19" s="100" t="n">
        <v>2195.1</v>
      </c>
      <c r="H19" s="100" t="n">
        <v>-284.1</v>
      </c>
      <c r="I19" s="100" t="n">
        <v>790.9</v>
      </c>
      <c r="J19" s="34" t="n">
        <v>0.471</v>
      </c>
      <c r="K19" s="101" t="n">
        <v>5.1</v>
      </c>
      <c r="L19" s="35" t="inlineStr">
        <is>
          <t>EXCEPTIONAL GO: Top-Tier Commercial Performance</t>
        </is>
      </c>
    </row>
    <row r="20">
      <c r="A20" s="32" t="n">
        <v>899</v>
      </c>
      <c r="B20" s="33">
        <f>A20/'Assumptions &amp; Levers'!$C$5</f>
        <v/>
      </c>
      <c r="C20" s="100">
        <f>S4_Leased_Star_Deferred!N8*B20*12*10/1000000</f>
        <v/>
      </c>
      <c r="D20" s="100">
        <f>S4_Leased_Star_Deferred!N29/1000000</f>
        <v/>
      </c>
      <c r="E20" s="100">
        <f>C20-D20</f>
        <v/>
      </c>
      <c r="F20" s="20">
        <f>E20/C20</f>
        <v/>
      </c>
      <c r="G20" s="100" t="n">
        <v>2580.5</v>
      </c>
      <c r="H20" s="100" t="n">
        <v>-260.8</v>
      </c>
      <c r="I20" s="100" t="n">
        <v>963.9</v>
      </c>
      <c r="J20" s="34" t="n">
        <v>0.538</v>
      </c>
      <c r="K20" s="101" t="n">
        <v>4.8</v>
      </c>
      <c r="L20" s="35" t="inlineStr">
        <is>
          <t>PREMIUM GO: Enterprise / SME Focused Trajectory</t>
        </is>
      </c>
    </row>
    <row r="21"/>
    <row r="22"/>
    <row r="23" ht="16" customHeight="1">
      <c r="A23" s="3" t="inlineStr">
        <is>
          <t>3. HOW TO ACHIEVE ₱699 BLENDED ARPU WITHOUT INCREASING THE ₱599 ENTRY PRICE</t>
        </is>
      </c>
    </row>
    <row r="24" ht="32" customHeight="1">
      <c r="A24" s="13" t="inlineStr">
        <is>
          <t>Product Plan Tier</t>
        </is>
      </c>
      <c r="B24" s="13" t="inlineStr">
        <is>
          <t>Target Speed</t>
        </is>
      </c>
      <c r="C24" s="13" t="inlineStr">
        <is>
          <t>Monthly Price (PHP)</t>
        </is>
      </c>
      <c r="D24" s="13" t="inlineStr">
        <is>
          <t>Customer Adoption Mix (%)</t>
        </is>
      </c>
      <c r="E24" s="13" t="inlineStr">
        <is>
          <t>Weighted Monthly ARPU (PHP)</t>
        </is>
      </c>
      <c r="F24" s="13" t="inlineStr">
        <is>
          <t>Strategic Market Role</t>
        </is>
      </c>
    </row>
    <row r="25">
      <c r="A25" s="14" t="inlineStr">
        <is>
          <t>FWA Home Basic (Anchor)</t>
        </is>
      </c>
      <c r="B25" s="42" t="inlineStr">
        <is>
          <t>25 Mbps</t>
        </is>
      </c>
      <c r="C25" s="105" t="n">
        <v>599</v>
      </c>
      <c r="D25" s="30" t="n">
        <v>0.5</v>
      </c>
      <c r="E25" s="106" t="n">
        <v>299.5</v>
      </c>
      <c r="F25" s="25" t="inlineStr">
        <is>
          <t>Mass-market anchor to rapidly capture household market share and fill base capacity</t>
        </is>
      </c>
    </row>
    <row r="26">
      <c r="A26" s="14" t="inlineStr">
        <is>
          <t>FWA Home Turbo (Add-On)</t>
        </is>
      </c>
      <c r="B26" s="42" t="inlineStr">
        <is>
          <t>50 Mbps</t>
        </is>
      </c>
      <c r="C26" s="105" t="n">
        <v>799</v>
      </c>
      <c r="D26" s="30" t="n">
        <v>0.4</v>
      </c>
      <c r="E26" s="106" t="n">
        <v>319.6</v>
      </c>
      <c r="F26" s="25" t="inlineStr">
        <is>
          <t>Upsell for multi-device streaming, gaming, and work-from-home households</t>
        </is>
      </c>
    </row>
    <row r="27">
      <c r="A27" s="14" t="inlineStr">
        <is>
          <t>FWA Home Pro / SME</t>
        </is>
      </c>
      <c r="B27" s="42" t="inlineStr">
        <is>
          <t>100 Mbps + Static IP</t>
        </is>
      </c>
      <c r="C27" s="105" t="n">
        <v>1299</v>
      </c>
      <c r="D27" s="30" t="n">
        <v>0.1</v>
      </c>
      <c r="E27" s="106" t="n">
        <v>129.9</v>
      </c>
      <c r="F27" s="25" t="inlineStr">
        <is>
          <t>High-margin tier for sari-sari stores, local businesses, schools, and barangay halls</t>
        </is>
      </c>
    </row>
    <row r="28">
      <c r="A28" s="45" t="inlineStr">
        <is>
          <t>BLENDED WEIGHTED AVERAGE</t>
        </is>
      </c>
      <c r="B28" s="46" t="inlineStr">
        <is>
          <t>Tiered Product Mix</t>
        </is>
      </c>
      <c r="C28" s="107" t="n">
        <v>699</v>
      </c>
      <c r="D28" s="48" t="n">
        <v>1</v>
      </c>
      <c r="E28" s="108" t="n">
        <v>699</v>
      </c>
      <c r="F28" s="45" t="inlineStr">
        <is>
          <t>Delivers +$270.5M NPV, 25.2% Project IRR, and 6.6-Year Payback!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topLeftCell="A29" workbookViewId="0">
      <selection activeCell="C57" sqref="C57"/>
    </sheetView>
  </sheetViews>
  <sheetFormatPr baseColWidth="10" defaultColWidth="8.83203125" defaultRowHeight="15"/>
  <cols>
    <col width="28" customWidth="1" min="1" max="1"/>
    <col width="44" customWidth="1" min="2" max="2"/>
    <col width="18" customWidth="1" min="3" max="3"/>
    <col width="16" customWidth="1" min="4" max="4"/>
    <col width="65" customWidth="1" min="5" max="5"/>
  </cols>
  <sheetData>
    <row r="1" ht="21" customHeight="1">
      <c r="A1" s="1" t="inlineStr">
        <is>
          <t>FWA 5G n50 (60 MHz) — Central Model Assumptions &amp; Levers (1,000 Sites in Year 1)</t>
        </is>
      </c>
    </row>
    <row r="2">
      <c r="A2" s="2" t="inlineStr">
        <is>
          <t>Source of Truth: n50 costing_Sep14_rev 2 by OLI_OD_DL.xlsx. Full 1,000-site footprint deployed in Year 1. Yellow cells are dynamic inputs.</t>
        </is>
      </c>
    </row>
    <row r="3"/>
    <row r="4">
      <c r="A4" s="5" t="inlineStr">
        <is>
          <t>Category</t>
        </is>
      </c>
      <c r="B4" s="5" t="inlineStr">
        <is>
          <t>Assumption / Parameter</t>
        </is>
      </c>
      <c r="C4" s="5" t="inlineStr">
        <is>
          <t>Default Value</t>
        </is>
      </c>
      <c r="D4" s="5" t="inlineStr">
        <is>
          <t>Unit</t>
        </is>
      </c>
      <c r="E4" s="5" t="inlineStr">
        <is>
          <t>Source Reference / Formula / Notes</t>
        </is>
      </c>
    </row>
    <row r="5">
      <c r="A5" s="7" t="inlineStr">
        <is>
          <t>Global Financials</t>
        </is>
      </c>
      <c r="B5" s="14" t="inlineStr">
        <is>
          <t>Exchange Rate (PHP/USD)</t>
        </is>
      </c>
      <c r="C5" s="109" t="n">
        <v>55</v>
      </c>
      <c r="D5" s="51" t="inlineStr">
        <is>
          <t>PHP/USD</t>
        </is>
      </c>
      <c r="E5" s="25" t="inlineStr">
        <is>
          <t>B5: Baseline FX in Price Book / Regulatory (test 55 to 65)</t>
        </is>
      </c>
    </row>
    <row r="6">
      <c r="A6" s="7" t="inlineStr">
        <is>
          <t>Global Financials</t>
        </is>
      </c>
      <c r="B6" s="14" t="inlineStr">
        <is>
          <t>Discount Rate / WACC</t>
        </is>
      </c>
      <c r="C6" s="52" t="n">
        <v>0.12</v>
      </c>
      <c r="D6" s="51" t="inlineStr">
        <is>
          <t>%</t>
        </is>
      </c>
      <c r="E6" s="25" t="inlineStr">
        <is>
          <t>B6: Nominal Weighted Average Cost of Capital</t>
        </is>
      </c>
    </row>
    <row r="7">
      <c r="A7" s="7" t="inlineStr">
        <is>
          <t>Global Financials</t>
        </is>
      </c>
      <c r="B7" s="14" t="inlineStr">
        <is>
          <t>Corporate Income Tax Rate</t>
        </is>
      </c>
      <c r="C7" s="52" t="n">
        <v>0.25</v>
      </c>
      <c r="D7" s="51" t="inlineStr">
        <is>
          <t>%</t>
        </is>
      </c>
      <c r="E7" s="25" t="inlineStr">
        <is>
          <t>B7: Philippine CREATE Act corporate tax rate</t>
        </is>
      </c>
    </row>
    <row r="8">
      <c r="A8" s="7" t="inlineStr">
        <is>
          <t>Global Financials</t>
        </is>
      </c>
      <c r="B8" s="14" t="inlineStr">
        <is>
          <t>Annual Cost Inflation / Escalation</t>
        </is>
      </c>
      <c r="C8" s="52" t="n">
        <v>0.05</v>
      </c>
      <c r="D8" s="51" t="inlineStr">
        <is>
          <t>% p.a.</t>
        </is>
      </c>
      <c r="E8" s="25" t="inlineStr">
        <is>
          <t>B8: Annual escalation for ongoing opex and future capex</t>
        </is>
      </c>
    </row>
    <row r="9">
      <c r="A9" s="7" t="inlineStr">
        <is>
          <t>Global Financials</t>
        </is>
      </c>
      <c r="B9" s="14" t="inlineStr">
        <is>
          <t>Project Modeling Horizon</t>
        </is>
      </c>
      <c r="C9" s="53" t="n">
        <v>10</v>
      </c>
      <c r="D9" s="51" t="inlineStr">
        <is>
          <t>years</t>
        </is>
      </c>
      <c r="E9" s="25" t="inlineStr">
        <is>
          <t>B9: 10-year full deployment lifecycle</t>
        </is>
      </c>
    </row>
    <row r="10">
      <c r="A10" s="7" t="inlineStr">
        <is>
          <t>Deployment &amp; Scale</t>
        </is>
      </c>
      <c r="B10" s="14" t="inlineStr">
        <is>
          <t>Total Planned Sites (Deployed Year 1)</t>
        </is>
      </c>
      <c r="C10" s="54" t="n">
        <v>1000</v>
      </c>
      <c r="D10" s="51" t="inlineStr">
        <is>
          <t>sites</t>
        </is>
      </c>
      <c r="E10" s="25" t="inlineStr">
        <is>
          <t>B10: 1,000 sites commissioned in Year 1 (Day-1 full footprint)</t>
        </is>
      </c>
    </row>
    <row r="11">
      <c r="A11" s="7" t="inlineStr">
        <is>
          <t>Deployment &amp; Scale</t>
        </is>
      </c>
      <c r="B11" s="14" t="inlineStr">
        <is>
          <t>Sites Added per Year (Y2-Y10)</t>
        </is>
      </c>
      <c r="C11" s="54" t="n">
        <v>1000</v>
      </c>
      <c r="D11" s="51" t="inlineStr">
        <is>
          <t>sites/yr</t>
        </is>
      </c>
      <c r="E11" s="25" t="inlineStr">
        <is>
          <t>B11: 1,000 additional sites deployed per year (scaling to 10,000 sites)</t>
        </is>
      </c>
    </row>
    <row r="12">
      <c r="A12" s="7" t="inlineStr">
        <is>
          <t>Deployment &amp; Scale</t>
        </is>
      </c>
      <c r="B12" s="14" t="inlineStr">
        <is>
          <t>Design Capacity per Site</t>
        </is>
      </c>
      <c r="C12" s="54" t="n">
        <v>1000</v>
      </c>
      <c r="D12" s="51" t="inlineStr">
        <is>
          <t>subs/site</t>
        </is>
      </c>
      <c r="E12" s="25" t="inlineStr">
        <is>
          <t>B12: 1,000 subscribers per 3-sector site (n50 60MHz DDDSU)</t>
        </is>
      </c>
    </row>
    <row r="13">
      <c r="A13" s="7" t="inlineStr">
        <is>
          <t>Deployment &amp; Scale</t>
        </is>
      </c>
      <c r="B13" s="14" t="inlineStr">
        <is>
          <t>Total Network Subscriber Capacity</t>
        </is>
      </c>
      <c r="C13" s="54">
        <f>($C$10 + 9*$C$11)*$C$12</f>
        <v/>
      </c>
      <c r="D13" s="51" t="inlineStr">
        <is>
          <t>subs</t>
        </is>
      </c>
      <c r="E13" s="25" t="inlineStr">
        <is>
          <t>B13: Network capacity at maturity (Year 10)</t>
        </is>
      </c>
    </row>
    <row r="14">
      <c r="A14" s="7" t="inlineStr">
        <is>
          <t>Deployment &amp; Scale</t>
        </is>
      </c>
      <c r="B14" s="14" t="inlineStr">
        <is>
          <t>Monthly Gross Churn Rate</t>
        </is>
      </c>
      <c r="C14" s="52" t="n">
        <v>0.012</v>
      </c>
      <c r="D14" s="51" t="inlineStr">
        <is>
          <t>% / month</t>
        </is>
      </c>
      <c r="E14" s="25" t="inlineStr">
        <is>
          <t>B14: 1.2% monthly churn (14.4% p.a.)</t>
        </is>
      </c>
    </row>
    <row r="15">
      <c r="A15" s="7" t="inlineStr">
        <is>
          <t>Deployment &amp; Scale</t>
        </is>
      </c>
      <c r="B15" s="14" t="inlineStr">
        <is>
          <t>CPE Reclamation Success Rate</t>
        </is>
      </c>
      <c r="C15" s="52" t="n">
        <v>0.5</v>
      </c>
      <c r="D15" s="51" t="inlineStr">
        <is>
          <t>% of churn</t>
        </is>
      </c>
      <c r="E15" s="25" t="inlineStr">
        <is>
          <t>B15: 50% of churned CPEs recovered from households</t>
        </is>
      </c>
    </row>
    <row r="16">
      <c r="A16" s="7" t="inlineStr">
        <is>
          <t>Deployment &amp; Scale</t>
        </is>
      </c>
      <c r="B16" s="14" t="inlineStr">
        <is>
          <t>CPE Refurbishment Cost</t>
        </is>
      </c>
      <c r="C16" s="52" t="n">
        <v>0.2</v>
      </c>
      <c r="D16" s="51" t="inlineStr">
        <is>
          <t>% of new</t>
        </is>
      </c>
      <c r="E16" s="25" t="inlineStr">
        <is>
          <t>B16: Refurbishing recovered CPE costs 20% of new unit</t>
        </is>
      </c>
    </row>
    <row r="17">
      <c r="A17" s="7" t="inlineStr">
        <is>
          <t>Commercial &amp; ARPU</t>
        </is>
      </c>
      <c r="B17" s="14" t="inlineStr">
        <is>
          <t>Base Single Subscriber Retail Rate</t>
        </is>
      </c>
      <c r="C17" s="54" t="n">
        <v>599</v>
      </c>
      <c r="D17" s="51" t="inlineStr">
        <is>
          <t>PHP / month</t>
        </is>
      </c>
      <c r="E17" s="25" t="inlineStr">
        <is>
          <t>B17: Mass-market fixed wireless monthly subscription</t>
        </is>
      </c>
    </row>
    <row r="18">
      <c r="A18" s="7" t="inlineStr">
        <is>
          <t>Commercial &amp; ARPU</t>
        </is>
      </c>
      <c r="B18" s="14" t="inlineStr">
        <is>
          <t>Blended ARPU Uplift Multiplier</t>
        </is>
      </c>
      <c r="C18" s="110" t="n">
        <v>1.166945</v>
      </c>
      <c r="D18" s="51" t="inlineStr">
        <is>
          <t>x</t>
        </is>
      </c>
      <c r="E18" s="25" t="inlineStr">
        <is>
          <t>B18: 1.167x = blended ₱699/mo (50% @ ₱599, 40% @ ₱799, 10% @ ₱1,299 per Table 4)</t>
        </is>
      </c>
    </row>
    <row r="19">
      <c r="A19" s="7" t="inlineStr">
        <is>
          <t>Commercial &amp; ARPU</t>
        </is>
      </c>
      <c r="B19" s="14" t="inlineStr">
        <is>
          <t>Effective Blended ARPU</t>
        </is>
      </c>
      <c r="C19" s="56">
        <f>$C$17*$C$18</f>
        <v/>
      </c>
      <c r="D19" s="51" t="inlineStr">
        <is>
          <t>PHP / month</t>
        </is>
      </c>
      <c r="E19" s="25" t="inlineStr">
        <is>
          <t>B19: Resulting monthly revenue per active subscriber (₱699.00/mo)</t>
        </is>
      </c>
    </row>
    <row r="20">
      <c r="A20" s="7" t="inlineStr">
        <is>
          <t>Commercial &amp; ARPU</t>
        </is>
      </c>
      <c r="B20" s="14" t="inlineStr">
        <is>
          <t>Monthly Device Fee Recovery</t>
        </is>
      </c>
      <c r="C20" s="54" t="n">
        <v>0</v>
      </c>
      <c r="D20" s="51" t="inlineStr">
        <is>
          <t>PHP / month</t>
        </is>
      </c>
      <c r="E20" s="25" t="inlineStr">
        <is>
          <t>B20: Device installment fee if customer co-pays CPE</t>
        </is>
      </c>
    </row>
    <row r="21">
      <c r="A21" s="7" t="inlineStr">
        <is>
          <t>Commercial &amp; ARPU</t>
        </is>
      </c>
      <c r="B21" s="14" t="inlineStr">
        <is>
          <t>Device Fee Duration</t>
        </is>
      </c>
      <c r="C21" s="53" t="n">
        <v>24</v>
      </c>
      <c r="D21" s="51" t="inlineStr">
        <is>
          <t>months</t>
        </is>
      </c>
      <c r="E21" s="25" t="inlineStr">
        <is>
          <t>B21: Duration of device recovery fee</t>
        </is>
      </c>
    </row>
    <row r="22">
      <c r="A22" s="7" t="inlineStr">
        <is>
          <t>CAPEX Unit Costs</t>
        </is>
      </c>
      <c r="B22" s="14" t="inlineStr">
        <is>
          <t>BTS (BBU x1, RRU x3, Antenna x3)</t>
        </is>
      </c>
      <c r="C22" s="111" t="n">
        <v>26000</v>
      </c>
      <c r="D22" s="51" t="inlineStr">
        <is>
          <t>USD / site</t>
        </is>
      </c>
      <c r="E22" s="25" t="inlineStr">
        <is>
          <t>B22: Price Book F3: 60 MHz n50 macro BTS</t>
        </is>
      </c>
    </row>
    <row r="23">
      <c r="A23" s="7" t="inlineStr">
        <is>
          <t>CAPEX Unit Costs</t>
        </is>
      </c>
      <c r="B23" s="14" t="inlineStr">
        <is>
          <t>RAN Services (Survey, PM, I&amp;C, Optim)</t>
        </is>
      </c>
      <c r="C23" s="111" t="n">
        <v>15900</v>
      </c>
      <c r="D23" s="51" t="inlineStr">
        <is>
          <t>USD / site</t>
        </is>
      </c>
      <c r="E23" s="25" t="inlineStr">
        <is>
          <t>B23: Price Book F19:F25: Complete turnkey rollout services</t>
        </is>
      </c>
    </row>
    <row r="24">
      <c r="A24" s="7" t="inlineStr">
        <is>
          <t>CAPEX Unit Costs</t>
        </is>
      </c>
      <c r="B24" s="14" t="inlineStr">
        <is>
          <t>5G Core HW &amp; Integration</t>
        </is>
      </c>
      <c r="C24" s="111" t="n">
        <v>4480000</v>
      </c>
      <c r="D24" s="51" t="inlineStr">
        <is>
          <t>USD</t>
        </is>
      </c>
      <c r="E24" s="25" t="inlineStr">
        <is>
          <t>FWA_5GC_OSSBSS_Dimensioning_1M.xlsx: Core HW, DC fabric &amp; integration (Chinese Tier-1)</t>
        </is>
      </c>
    </row>
    <row r="25">
      <c r="A25" s="7" t="inlineStr">
        <is>
          <t>CAPEX Unit Costs</t>
        </is>
      </c>
      <c r="B25" s="14" t="inlineStr">
        <is>
          <t>Core Software Licenses (1M subs)</t>
        </is>
      </c>
      <c r="C25" s="111" t="n">
        <v>5660000</v>
      </c>
      <c r="D25" s="51" t="inlineStr">
        <is>
          <t>USD</t>
        </is>
      </c>
      <c r="E25" s="25" t="inlineStr">
        <is>
          <t>FWA_5GC_OSSBSS_Dimensioning_1M.xlsx: 1M sub 5GC licenses + 277Gbps UPF (Chinese Tier-1)</t>
        </is>
      </c>
    </row>
    <row r="26">
      <c r="A26" s="7" t="inlineStr">
        <is>
          <t>CAPEX Unit Costs</t>
        </is>
      </c>
      <c r="B26" s="14" t="inlineStr">
        <is>
          <t>OSS / BSS Turnkey Platform</t>
        </is>
      </c>
      <c r="C26" s="111" t="n">
        <v>12830000</v>
      </c>
      <c r="D26" s="51" t="inlineStr">
        <is>
          <t>USD</t>
        </is>
      </c>
      <c r="E26" s="25" t="inlineStr">
        <is>
          <t>FWA_5GC_OSSBSS_Dimensioning_1M.xlsx: Turnkey BSS/OSS + SI + Cloud DR (Chinese Tier-1)</t>
        </is>
      </c>
    </row>
    <row r="27">
      <c r="A27" s="7" t="inlineStr">
        <is>
          <t>CAPEX Unit Costs</t>
        </is>
      </c>
      <c r="B27" s="14" t="inlineStr">
        <is>
          <t>CPE Unit Purchase Price</t>
        </is>
      </c>
      <c r="C27" s="58" t="n">
        <v>55</v>
      </c>
      <c r="D27" s="51" t="inlineStr">
        <is>
          <t>USD / unit</t>
        </is>
      </c>
      <c r="E27" s="25" t="inlineStr">
        <is>
          <t>B27: Price Book F15 / Cost Tables row 21 ($55/CPE for 1M subs)</t>
        </is>
      </c>
    </row>
    <row r="28">
      <c r="A28" s="7" t="inlineStr">
        <is>
          <t>Tower Infrastructure</t>
        </is>
      </c>
      <c r="B28" s="14" t="inlineStr">
        <is>
          <t>Monopole Build (30m + Compound + AC)</t>
        </is>
      </c>
      <c r="C28" s="54" t="n">
        <v>3500000</v>
      </c>
      <c r="D28" s="51" t="inlineStr">
        <is>
          <t>PHP / site</t>
        </is>
      </c>
      <c r="E28" s="25" t="inlineStr">
        <is>
          <t>B28: Price Book F6: Monopole, shelter, compound ($63,636 @ 55 FX)</t>
        </is>
      </c>
    </row>
    <row r="29">
      <c r="A29" s="7" t="inlineStr">
        <is>
          <t>Tower Infrastructure</t>
        </is>
      </c>
      <c r="B29" s="14" t="inlineStr">
        <is>
          <t>25kVA Diesel Generator &amp; Day Tank</t>
        </is>
      </c>
      <c r="C29" s="111" t="n">
        <v>4000</v>
      </c>
      <c r="D29" s="51" t="inlineStr">
        <is>
          <t>USD / site</t>
        </is>
      </c>
      <c r="E29" s="25" t="inlineStr">
        <is>
          <t>B29: Price Book F5 / Cost Table row 10: Standby backup power</t>
        </is>
      </c>
    </row>
    <row r="30">
      <c r="A30" s="7" t="inlineStr">
        <is>
          <t>Tower Infrastructure</t>
        </is>
      </c>
      <c r="B30" s="14" t="inlineStr">
        <is>
          <t>DC Power Plant (6kW Rectifier + LFP)</t>
        </is>
      </c>
      <c r="C30" s="111" t="n">
        <v>4500</v>
      </c>
      <c r="D30" s="51" t="inlineStr">
        <is>
          <t>USD / site</t>
        </is>
      </c>
      <c r="E30" s="25" t="inlineStr">
        <is>
          <t>B30: Price Book F4: 6kW rectifier + 150Ah LiFePO4 battery</t>
        </is>
      </c>
    </row>
    <row r="31">
      <c r="A31" s="7" t="inlineStr">
        <is>
          <t>Tower Infrastructure</t>
        </is>
      </c>
      <c r="B31" s="14" t="inlineStr">
        <is>
          <t>TowerCo Lease Rate (incl DC &amp; Passive O&amp;M)</t>
        </is>
      </c>
      <c r="C31" s="54" t="n">
        <v>120000</v>
      </c>
      <c r="D31" s="51" t="inlineStr">
        <is>
          <t>PHP/site/mo</t>
        </is>
      </c>
      <c r="E31" s="25" t="inlineStr">
        <is>
          <t>B31: Price Book F38: Full turnkey macro colocation lease</t>
        </is>
      </c>
    </row>
    <row r="32">
      <c r="A32" s="7" t="inlineStr">
        <is>
          <t>Tower Infrastructure</t>
        </is>
      </c>
      <c r="B32" s="14" t="inlineStr">
        <is>
          <t>Own-Site Passive Maintenance (O&amp;M)</t>
        </is>
      </c>
      <c r="C32" s="54" t="n">
        <v>60000</v>
      </c>
      <c r="D32" s="51" t="inlineStr">
        <is>
          <t>PHP/site/mo</t>
        </is>
      </c>
      <c r="E32" s="25" t="inlineStr">
        <is>
          <t>B32: Price Book F41: Compound, structural, AC routine O&amp;M</t>
        </is>
      </c>
    </row>
    <row r="33">
      <c r="A33" s="7" t="inlineStr">
        <is>
          <t>Tower Infrastructure</t>
        </is>
      </c>
      <c r="B33" s="14" t="inlineStr">
        <is>
          <t>Site Land Lease (Own Monopoles)</t>
        </is>
      </c>
      <c r="C33" s="54" t="n">
        <v>20000</v>
      </c>
      <c r="D33" s="51" t="inlineStr">
        <is>
          <t>PHP/site/mo</t>
        </is>
      </c>
      <c r="E33" s="25" t="inlineStr">
        <is>
          <t>B33: Price Book F45 / Cost Table row 32: Ground lease rent</t>
        </is>
      </c>
    </row>
    <row r="34">
      <c r="A34" s="7" t="inlineStr">
        <is>
          <t>Tower Infrastructure</t>
        </is>
      </c>
      <c r="B34" s="14" t="inlineStr">
        <is>
          <t>Site Security (Own Monopoles)</t>
        </is>
      </c>
      <c r="C34" s="54" t="n">
        <v>12000</v>
      </c>
      <c r="D34" s="51" t="inlineStr">
        <is>
          <t>PHP/site/mo</t>
        </is>
      </c>
      <c r="E34" s="25" t="inlineStr">
        <is>
          <t>B34: Price Book F46 / Cost Table row 33: Physical guarding</t>
        </is>
      </c>
    </row>
    <row r="35">
      <c r="A35" s="7" t="inlineStr">
        <is>
          <t>Tower Infrastructure</t>
        </is>
      </c>
      <c r="B35" s="14" t="inlineStr">
        <is>
          <t>Site Electricity Tariff</t>
        </is>
      </c>
      <c r="C35" s="54" t="n">
        <v>80000</v>
      </c>
      <c r="D35" s="51" t="inlineStr">
        <is>
          <t>PHP/site/mo</t>
        </is>
      </c>
      <c r="E35" s="25" t="inlineStr">
        <is>
          <t>B35: Price Book F39: Utility power consumption per site</t>
        </is>
      </c>
    </row>
    <row r="36">
      <c r="A36" s="7" t="inlineStr">
        <is>
          <t>Tower Infrastructure</t>
        </is>
      </c>
      <c r="B36" s="14" t="inlineStr">
        <is>
          <t>Active Telecom O&amp;M Services</t>
        </is>
      </c>
      <c r="C36" s="54" t="n">
        <v>120000</v>
      </c>
      <c r="D36" s="51" t="inlineStr">
        <is>
          <t>PHP/site/mo</t>
        </is>
      </c>
      <c r="E36" s="25" t="inlineStr">
        <is>
          <t>B36: Price Book F42: Active RAN, electronics &amp; field maintenance</t>
        </is>
      </c>
    </row>
    <row r="37">
      <c r="A37" s="7" t="inlineStr">
        <is>
          <t>Backhaul Infrastructure</t>
        </is>
      </c>
      <c r="B37" s="14" t="inlineStr">
        <is>
          <t>FOC Backhaul Lease Rate</t>
        </is>
      </c>
      <c r="C37" s="54" t="n">
        <v>100000</v>
      </c>
      <c r="D37" s="51" t="inlineStr">
        <is>
          <t>PHP/site/mo</t>
        </is>
      </c>
      <c r="E37" s="25" t="inlineStr">
        <is>
          <t>B37: Cost Table FOC row 16: Dedicated dark/lit fiber lease per site</t>
        </is>
      </c>
    </row>
    <row r="38">
      <c r="A38" s="7" t="inlineStr">
        <is>
          <t>Backhaul Infrastructure</t>
        </is>
      </c>
      <c r="B38" s="14" t="inlineStr">
        <is>
          <t>Starlink Kit (4x Terminals)</t>
        </is>
      </c>
      <c r="C38" s="111" t="n">
        <v>1920</v>
      </c>
      <c r="D38" s="51" t="inlineStr">
        <is>
          <t>USD / site</t>
        </is>
      </c>
      <c r="E38" s="25" t="inlineStr">
        <is>
          <t>B38: Price Book F10: 4x Starlink terminals ($480 each)</t>
        </is>
      </c>
    </row>
    <row r="39">
      <c r="A39" s="7" t="inlineStr">
        <is>
          <t>Backhaul Infrastructure</t>
        </is>
      </c>
      <c r="B39" s="14" t="inlineStr">
        <is>
          <t>Starlink Aggregator / SD-WAN Router</t>
        </is>
      </c>
      <c r="C39" s="111" t="n">
        <v>400</v>
      </c>
      <c r="D39" s="51" t="inlineStr">
        <is>
          <t>USD / site</t>
        </is>
      </c>
      <c r="E39" s="25" t="inlineStr">
        <is>
          <t>B39: Price Book F11: Multi-WAN bonding &amp; aggregation router</t>
        </is>
      </c>
    </row>
    <row r="40">
      <c r="A40" s="7" t="inlineStr">
        <is>
          <t>Backhaul Infrastructure</t>
        </is>
      </c>
      <c r="B40" s="14" t="inlineStr">
        <is>
          <t>Starlink I&amp;C Installation Services</t>
        </is>
      </c>
      <c r="C40" s="111" t="n">
        <v>800</v>
      </c>
      <c r="D40" s="51" t="inlineStr">
        <is>
          <t>USD / site</t>
        </is>
      </c>
      <c r="E40" s="25" t="inlineStr">
        <is>
          <t>B40: Price Book F12: Dish mounting, cabling, alignment</t>
        </is>
      </c>
    </row>
    <row r="41">
      <c r="A41" s="7" t="inlineStr">
        <is>
          <t>Backhaul Infrastructure</t>
        </is>
      </c>
      <c r="B41" s="14" t="inlineStr">
        <is>
          <t>Starlink Monthly Subscription (4 Terminals)</t>
        </is>
      </c>
      <c r="C41" s="54" t="n">
        <v>6800</v>
      </c>
      <c r="D41" s="51" t="inlineStr">
        <is>
          <t>PHP/site/mo</t>
        </is>
      </c>
      <c r="E41" s="25" t="inlineStr">
        <is>
          <t>B41: 4 terminals x PHP 1,700/mo (Cost Table Starlink row 19)</t>
        </is>
      </c>
    </row>
    <row r="42">
      <c r="A42" s="7" t="inlineStr">
        <is>
          <t>Backhaul Infrastructure</t>
        </is>
      </c>
      <c r="B42" s="14" t="inlineStr">
        <is>
          <t>Starlink Hardware O&amp;M (% of Capex)</t>
        </is>
      </c>
      <c r="C42" s="52" t="n">
        <v>0.05</v>
      </c>
      <c r="D42" s="51" t="inlineStr">
        <is>
          <t>% p.a.</t>
        </is>
      </c>
      <c r="E42" s="25" t="inlineStr">
        <is>
          <t>B42: Annual spares and dish replacement maintenance</t>
        </is>
      </c>
    </row>
    <row r="43">
      <c r="A43" s="7" t="inlineStr">
        <is>
          <t>Backhaul Infrastructure</t>
        </is>
      </c>
      <c r="B43" s="14" t="inlineStr">
        <is>
          <t>Core IP Transit Bandwidth</t>
        </is>
      </c>
      <c r="C43" s="111" t="n">
        <v>2000000</v>
      </c>
      <c r="D43" s="51" t="inlineStr">
        <is>
          <t>USD / year</t>
        </is>
      </c>
      <c r="E43" s="25" t="inlineStr">
        <is>
          <t>FWA_5GC_OSSBSS_Dimensioning_1M.xlsx: National upstream IP transit ($2.0M/yr)</t>
        </is>
      </c>
    </row>
    <row r="44">
      <c r="A44" s="7" t="inlineStr">
        <is>
          <t>Regulatory &amp; SUF</t>
        </is>
      </c>
      <c r="B44" s="14" t="inlineStr">
        <is>
          <t>Assigned Spectrum Bandwidth</t>
        </is>
      </c>
      <c r="C44" s="54" t="n">
        <v>80</v>
      </c>
      <c r="D44" s="51" t="inlineStr">
        <is>
          <t>MHz</t>
        </is>
      </c>
      <c r="E44" s="25" t="inlineStr">
        <is>
          <t>B44: 80 MHz channel in n50 band (80,000 kHz)</t>
        </is>
      </c>
    </row>
    <row r="45">
      <c r="A45" s="7" t="inlineStr">
        <is>
          <t>Regulatory &amp; SUF</t>
        </is>
      </c>
      <c r="B45" s="14" t="inlineStr">
        <is>
          <t>SUF Regulatory Rate per kHz</t>
        </is>
      </c>
      <c r="C45" s="59" t="n">
        <v>5</v>
      </c>
      <c r="D45" s="51" t="inlineStr">
        <is>
          <t>PHP / kHz</t>
        </is>
      </c>
      <c r="E45" s="25" t="inlineStr">
        <is>
          <t>B45: NTC mandated rate: ₱5.00 per kHz (no phasing)</t>
        </is>
      </c>
    </row>
    <row r="46">
      <c r="A46" s="7" t="inlineStr">
        <is>
          <t>Regulatory &amp; SUF</t>
        </is>
      </c>
      <c r="B46" s="14" t="inlineStr">
        <is>
          <t>Annual Spectrum User Fee (SUF)</t>
        </is>
      </c>
      <c r="C46" s="54">
        <f>$C$44*1000*$C$45</f>
        <v/>
      </c>
      <c r="D46" s="51" t="inlineStr">
        <is>
          <t>PHP / year</t>
        </is>
      </c>
      <c r="E46" s="25" t="inlineStr">
        <is>
          <t>B46: 80,000 kHz x ₱5.00/kHz = ₱400,000,000 PHP/year ($7.27M USD)</t>
        </is>
      </c>
    </row>
    <row r="47">
      <c r="A47" s="7" t="inlineStr">
        <is>
          <t>Regulatory &amp; SUF</t>
        </is>
      </c>
      <c r="B47" s="14" t="inlineStr">
        <is>
          <t>SUF Annual Outflow in USD</t>
        </is>
      </c>
      <c r="C47" s="111">
        <f>$C$46/$C$5</f>
        <v/>
      </c>
      <c r="D47" s="51" t="inlineStr">
        <is>
          <t>USD / year</t>
        </is>
      </c>
      <c r="E47" s="25" t="inlineStr">
        <is>
          <t>B47: $7,272,727 USD/year unphased across all 10 years</t>
        </is>
      </c>
    </row>
    <row r="48">
      <c r="A48" s="7" t="inlineStr">
        <is>
          <t>Regulatory &amp; SUF</t>
        </is>
      </c>
      <c r="B48" s="14" t="inlineStr">
        <is>
          <t>Administrative Station Fees (RSL + Insp + Filing)</t>
        </is>
      </c>
      <c r="C48" s="54" t="n">
        <v>2310</v>
      </c>
      <c r="D48" s="51" t="inlineStr">
        <is>
          <t>PHP/site/yr</t>
        </is>
      </c>
      <c r="E48" s="25" t="inlineStr">
        <is>
          <t>B48: Price Book F59-F68: ₱1,200 RSL + ₱480 AIF + upfront amortized</t>
        </is>
      </c>
    </row>
    <row r="49">
      <c r="A49" s="7" t="inlineStr">
        <is>
          <t>Financing &amp; Deferred Terms</t>
        </is>
      </c>
      <c r="B49" s="14" t="inlineStr">
        <is>
          <t>Equipment Vendor Financing Down Payment</t>
        </is>
      </c>
      <c r="C49" s="52" t="n">
        <v>0.2</v>
      </c>
      <c r="D49" s="51" t="inlineStr">
        <is>
          <t>% upfront</t>
        </is>
      </c>
      <c r="E49" s="25" t="inlineStr">
        <is>
          <t>B49: 20% down payment on equipment delivery in Year 1</t>
        </is>
      </c>
    </row>
    <row r="50">
      <c r="A50" s="7" t="inlineStr">
        <is>
          <t>Financing &amp; Deferred Terms</t>
        </is>
      </c>
      <c r="B50" s="14" t="inlineStr">
        <is>
          <t>Financed Equipment Portion</t>
        </is>
      </c>
      <c r="C50" s="52">
        <f>1-$C$49</f>
        <v/>
      </c>
      <c r="D50" s="51" t="inlineStr">
        <is>
          <t>% financed</t>
        </is>
      </c>
      <c r="E50" s="25" t="inlineStr">
        <is>
          <t>B50: 80% vendor financed</t>
        </is>
      </c>
    </row>
    <row r="51">
      <c r="A51" s="7" t="inlineStr">
        <is>
          <t>Financing &amp; Deferred Terms</t>
        </is>
      </c>
      <c r="B51" s="14" t="inlineStr">
        <is>
          <t>Vendor Financing Amortization Period</t>
        </is>
      </c>
      <c r="C51" s="53" t="n">
        <v>4</v>
      </c>
      <c r="D51" s="51" t="inlineStr">
        <is>
          <t>years</t>
        </is>
      </c>
      <c r="E51" s="25" t="inlineStr">
        <is>
          <t>B51: Equal annual principal repayments over 4 years</t>
        </is>
      </c>
    </row>
    <row r="52">
      <c r="A52" s="7" t="inlineStr">
        <is>
          <t>Financing &amp; Deferred Terms</t>
        </is>
      </c>
      <c r="B52" s="14" t="inlineStr">
        <is>
          <t>Vendor Financing Interest Rate</t>
        </is>
      </c>
      <c r="C52" s="52" t="n">
        <v>0.065</v>
      </c>
      <c r="D52" s="51" t="inlineStr">
        <is>
          <t>% p.a.</t>
        </is>
      </c>
      <c r="E52" s="25" t="inlineStr">
        <is>
          <t>B52: 6.5% annual vendor financing interest rate</t>
        </is>
      </c>
    </row>
    <row r="53">
      <c r="A53" s="7" t="inlineStr">
        <is>
          <t>Financing &amp; Deferred Terms</t>
        </is>
      </c>
      <c r="B53" s="14" t="inlineStr">
        <is>
          <t>SUF Payment Mechanism</t>
        </is>
      </c>
      <c r="C53" s="60" t="inlineStr">
        <is>
          <t>Full Flat Annual (Unphased)</t>
        </is>
      </c>
      <c r="D53" s="51" t="inlineStr">
        <is>
          <t>mode</t>
        </is>
      </c>
      <c r="E53" s="25" t="inlineStr">
        <is>
          <t>B53: Flat ₱400M/year paid across all years (no phasing)</t>
        </is>
      </c>
    </row>
    <row r="54">
      <c r="A54" s="7" t="inlineStr">
        <is>
          <t>Accounting Depreciation</t>
        </is>
      </c>
      <c r="B54" s="14" t="inlineStr">
        <is>
          <t>Depreciation Life — Telecom Network &amp; Core</t>
        </is>
      </c>
      <c r="C54" s="53" t="n">
        <v>7</v>
      </c>
      <c r="D54" s="51" t="inlineStr">
        <is>
          <t>years</t>
        </is>
      </c>
      <c r="E54" s="25" t="inlineStr">
        <is>
          <t>B54: Straight-line depreciation for RAN, Core, and backhaul hardware</t>
        </is>
      </c>
    </row>
    <row r="55">
      <c r="A55" s="7" t="inlineStr">
        <is>
          <t>Accounting Depreciation</t>
        </is>
      </c>
      <c r="B55" s="14" t="inlineStr">
        <is>
          <t>Depreciation Life — Civil Works &amp; Monopoles</t>
        </is>
      </c>
      <c r="C55" s="53" t="n">
        <v>15</v>
      </c>
      <c r="D55" s="51" t="inlineStr">
        <is>
          <t>years</t>
        </is>
      </c>
      <c r="E55" s="25" t="inlineStr">
        <is>
          <t>B55: Straight-line depreciation for 30m monopoles and shelters</t>
        </is>
      </c>
    </row>
    <row r="56">
      <c r="A56" s="7" t="inlineStr">
        <is>
          <t>Accounting Depreciation</t>
        </is>
      </c>
      <c r="B56" s="14" t="inlineStr">
        <is>
          <t>Depreciation Life — CPE Devices</t>
        </is>
      </c>
      <c r="C56" s="53" t="n">
        <v>4</v>
      </c>
      <c r="D56" s="51" t="inlineStr">
        <is>
          <t>years</t>
        </is>
      </c>
      <c r="E56" s="25" t="inlineStr">
        <is>
          <t>B56: Straight-line depreciation for customer premises equipment</t>
        </is>
      </c>
    </row>
    <row r="57">
      <c r="A57" s="7" t="inlineStr">
        <is>
          <t>Subscriber Ramp Toggles</t>
        </is>
      </c>
      <c r="B57" s="14" t="inlineStr">
        <is>
          <t>Ramp Selection Mode (1=S-Curve, 2=Aggressive, 3=Full Take)</t>
        </is>
      </c>
      <c r="C57" s="53" t="n">
        <v>1</v>
      </c>
      <c r="D57" s="51" t="inlineStr">
        <is>
          <t>code</t>
        </is>
      </c>
      <c r="E57" s="25" t="inlineStr">
        <is>
          <t>B57: 1=250k-1M S-Curve; 2=500k-1M Pre-sale; 3=1M Day-1</t>
        </is>
      </c>
    </row>
    <row r="58">
      <c r="A58" s="7" t="inlineStr">
        <is>
          <t>5G Core &amp; OSS/BSS Scaling</t>
        </is>
      </c>
      <c r="B58" s="14" t="inlineStr">
        <is>
          <t>Incremental 5G Core License &amp; HW CAPEX</t>
        </is>
      </c>
      <c r="C58" s="111" t="n">
        <v>8000</v>
      </c>
      <c r="D58" s="51" t="inlineStr">
        <is>
          <t>USD / site</t>
        </is>
      </c>
      <c r="E58" s="25" t="inlineStr">
        <is>
          <t>FWA_5GC_OSSBSS_Dimensioning_1M.xlsx scale: $4/sub license + UPF/CaaS HW</t>
        </is>
      </c>
    </row>
    <row r="59">
      <c r="A59" s="7" t="inlineStr">
        <is>
          <t>5G Core &amp; OSS/BSS Scaling</t>
        </is>
      </c>
      <c r="B59" s="14" t="inlineStr">
        <is>
          <t>Incremental OSS/BSS Expansion CAPEX</t>
        </is>
      </c>
      <c r="C59" s="111" t="n">
        <v>6000</v>
      </c>
      <c r="D59" s="51" t="inlineStr">
        <is>
          <t>USD / site</t>
        </is>
      </c>
      <c r="E59" s="25" t="inlineStr">
        <is>
          <t>FWA_5GC_OSSBSS_Dimensioning_1M.xlsx scale: CRM, billing, mediation, WMS</t>
        </is>
      </c>
    </row>
    <row r="60">
      <c r="A60" s="7" t="inlineStr">
        <is>
          <t>5G Core &amp; OSS/BSS Scaling</t>
        </is>
      </c>
      <c r="B60" s="14" t="inlineStr">
        <is>
          <t>Total Incremental IT Stack CAPEX</t>
        </is>
      </c>
      <c r="C60" s="111">
        <f>$C$58+$C$59</f>
        <v/>
      </c>
      <c r="D60" s="51" t="inlineStr">
        <is>
          <t>USD / site</t>
        </is>
      </c>
      <c r="E60" s="25" t="inlineStr">
        <is>
          <t>Combined incremental IT CAPEX per 1,000-sub site ($14/sub capacity)</t>
        </is>
      </c>
    </row>
    <row r="61">
      <c r="A61" s="7" t="inlineStr">
        <is>
          <t>5G Core &amp; OSS/BSS Scaling</t>
        </is>
      </c>
      <c r="B61" s="14" t="inlineStr">
        <is>
          <t>Base 5G Core &amp; OSS/BSS Annual Support OPEX (Y1)</t>
        </is>
      </c>
      <c r="C61" s="111" t="n">
        <v>6653900</v>
      </c>
      <c r="D61" s="51" t="inlineStr">
        <is>
          <t>USD / year</t>
        </is>
      </c>
      <c r="E61" s="25" t="inlineStr">
        <is>
          <t>FWA_5GC_OSSBSS_Dimensioning_1M.xlsx (Chinese Tier-1): $792.4k SW + $1.892M Core + $3.969M OSS</t>
        </is>
      </c>
    </row>
    <row r="62">
      <c r="A62" s="7" t="inlineStr">
        <is>
          <t>5G Core &amp; OSS/BSS Scaling</t>
        </is>
      </c>
      <c r="B62" s="14" t="inlineStr">
        <is>
          <t>IT Stack Annual Support &amp; Maintenance Rate</t>
        </is>
      </c>
      <c r="C62" s="52" t="n">
        <v>0.14</v>
      </c>
      <c r="D62" s="51" t="inlineStr">
        <is>
          <t>% p.a.</t>
        </is>
      </c>
      <c r="E62" s="25" t="inlineStr">
        <is>
          <t>14.0% annual AMC/support on cumulative added IT CAPEX (Chinese Tier-1)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"/>
  <sheetViews>
    <sheetView topLeftCell="A2" workbookViewId="0">
      <selection activeCell="C6" sqref="C6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1: Leased Towers + FOC Backhaul + Non-Deferred Payment (1,000 Sites Y1)</t>
        </is>
      </c>
    </row>
    <row r="2">
      <c r="A2" s="2" t="inlineStr">
        <is>
          <t>Footprint: 1,000 Sites in Year 1 (Day-1 Full Build) | Tower: Leased (TowerCo) | Backhaul: FOC | Payment Terms: Non-Deferred (100% Upfront)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Tower Lease (incl DC &amp; Passive O&amp;M)</t>
        </is>
      </c>
      <c r="C19" s="42" t="inlineStr">
        <is>
          <t>USD</t>
        </is>
      </c>
      <c r="D19" s="112">
        <f>D5*'Assumptions &amp; Levers'!$C$31*12/'Assumptions &amp; Levers'!$C$5</f>
        <v/>
      </c>
      <c r="E19" s="112">
        <f>E5*'Assumptions &amp; Levers'!$C$31*12/'Assumptions &amp; Levers'!$C$5</f>
        <v/>
      </c>
      <c r="F19" s="112">
        <f>F5*'Assumptions &amp; Levers'!$C$31*12/'Assumptions &amp; Levers'!$C$5</f>
        <v/>
      </c>
      <c r="G19" s="112">
        <f>G5*'Assumptions &amp; Levers'!$C$31*12/'Assumptions &amp; Levers'!$C$5</f>
        <v/>
      </c>
      <c r="H19" s="112">
        <f>H5*'Assumptions &amp; Levers'!$C$31*12/'Assumptions &amp; Levers'!$C$5</f>
        <v/>
      </c>
      <c r="I19" s="112">
        <f>I5*'Assumptions &amp; Levers'!$C$31*12/'Assumptions &amp; Levers'!$C$5</f>
        <v/>
      </c>
      <c r="J19" s="112">
        <f>J5*'Assumptions &amp; Levers'!$C$31*12/'Assumptions &amp; Levers'!$C$5</f>
        <v/>
      </c>
      <c r="K19" s="112">
        <f>K5*'Assumptions &amp; Levers'!$C$31*12/'Assumptions &amp; Levers'!$C$5</f>
        <v/>
      </c>
      <c r="L19" s="112">
        <f>L5*'Assumptions &amp; Levers'!$C$31*12/'Assumptions &amp; Levers'!$C$5</f>
        <v/>
      </c>
      <c r="M19" s="112">
        <f>M5*'Assumptions &amp; Levers'!$C$31*12/'Assumptions &amp; Levers'!$C$5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FOC Leased Fiber Transmission</t>
        </is>
      </c>
      <c r="C23" s="42" t="inlineStr">
        <is>
          <t>USD</t>
        </is>
      </c>
      <c r="D23" s="112">
        <f>D5*'Assumptions &amp; Levers'!$C$37*12/'Assumptions &amp; Levers'!$C$5</f>
        <v/>
      </c>
      <c r="E23" s="112">
        <f>E5*'Assumptions &amp; Levers'!$C$37*12/'Assumptions &amp; Levers'!$C$5</f>
        <v/>
      </c>
      <c r="F23" s="112">
        <f>F5*'Assumptions &amp; Levers'!$C$37*12/'Assumptions &amp; Levers'!$C$5</f>
        <v/>
      </c>
      <c r="G23" s="112">
        <f>G5*'Assumptions &amp; Levers'!$C$37*12/'Assumptions &amp; Levers'!$C$5</f>
        <v/>
      </c>
      <c r="H23" s="112">
        <f>H5*'Assumptions &amp; Levers'!$C$37*12/'Assumptions &amp; Levers'!$C$5</f>
        <v/>
      </c>
      <c r="I23" s="112">
        <f>I5*'Assumptions &amp; Levers'!$C$37*12/'Assumptions &amp; Levers'!$C$5</f>
        <v/>
      </c>
      <c r="J23" s="112">
        <f>J5*'Assumptions &amp; Levers'!$C$37*12/'Assumptions &amp; Levers'!$C$5</f>
        <v/>
      </c>
      <c r="K23" s="112">
        <f>K5*'Assumptions &amp; Levers'!$C$37*12/'Assumptions &amp; Levers'!$C$5</f>
        <v/>
      </c>
      <c r="L23" s="112">
        <f>L5*'Assumptions &amp; Levers'!$C$37*12/'Assumptions &amp; Levers'!$C$5</f>
        <v/>
      </c>
      <c r="M23" s="112">
        <f>M5*'Assumptions &amp; Levers'!$C$37*12/'Assumptions &amp; Levers'!$C$5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 t="n">
        <v>0</v>
      </c>
      <c r="E41" s="112" t="n">
        <v>0</v>
      </c>
      <c r="F41" s="112" t="n">
        <v>0</v>
      </c>
      <c r="G41" s="112" t="n">
        <v>0</v>
      </c>
      <c r="H41" s="112" t="n">
        <v>0</v>
      </c>
      <c r="I41" s="112" t="n">
        <v>0</v>
      </c>
      <c r="J41" s="112" t="n">
        <v>0</v>
      </c>
      <c r="K41" s="112" t="n">
        <v>0</v>
      </c>
      <c r="L41" s="112" t="n">
        <v>0</v>
      </c>
      <c r="M41" s="112" t="n">
        <v>0</v>
      </c>
      <c r="N41" s="112" t="n">
        <v>0</v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D39</f>
        <v/>
      </c>
      <c r="E42" s="112">
        <f>E39</f>
        <v/>
      </c>
      <c r="F42" s="112">
        <f>F39</f>
        <v/>
      </c>
      <c r="G42" s="112">
        <f>G39</f>
        <v/>
      </c>
      <c r="H42" s="112">
        <f>H39</f>
        <v/>
      </c>
      <c r="I42" s="112">
        <f>I39</f>
        <v/>
      </c>
      <c r="J42" s="112">
        <f>J39</f>
        <v/>
      </c>
      <c r="K42" s="112">
        <f>K39</f>
        <v/>
      </c>
      <c r="L42" s="112">
        <f>L39</f>
        <v/>
      </c>
      <c r="M42" s="112">
        <f>M39</f>
        <v/>
      </c>
      <c r="N42" s="112">
        <f>N39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0</v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 t="n">
        <v>0</v>
      </c>
      <c r="F44" s="112" t="n">
        <v>0</v>
      </c>
      <c r="G44" s="112" t="n">
        <v>0</v>
      </c>
      <c r="H44" s="112" t="n">
        <v>0</v>
      </c>
      <c r="I44" s="112" t="n">
        <v>0</v>
      </c>
      <c r="J44" s="112" t="n">
        <v>0</v>
      </c>
      <c r="K44" s="112" t="n">
        <v>0</v>
      </c>
      <c r="L44" s="112" t="n">
        <v>0</v>
      </c>
      <c r="M44" s="112" t="n">
        <v>0</v>
      </c>
      <c r="N44" s="112" t="n">
        <v>0</v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D42</f>
        <v/>
      </c>
      <c r="E45" s="113">
        <f>E42</f>
        <v/>
      </c>
      <c r="F45" s="113">
        <f>F42</f>
        <v/>
      </c>
      <c r="G45" s="113">
        <f>G42</f>
        <v/>
      </c>
      <c r="H45" s="113">
        <f>H42</f>
        <v/>
      </c>
      <c r="I45" s="113">
        <f>I42</f>
        <v/>
      </c>
      <c r="J45" s="113">
        <f>J42</f>
        <v/>
      </c>
      <c r="K45" s="113">
        <f>K42</f>
        <v/>
      </c>
      <c r="L45" s="113">
        <f>L42</f>
        <v/>
      </c>
      <c r="M45" s="113">
        <f>M42</f>
        <v/>
      </c>
      <c r="N45" s="113">
        <f>N42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2: Leased Towers + FOC Backhaul + Deferred Payment (1,000 Sites Y1)</t>
        </is>
      </c>
    </row>
    <row r="2">
      <c r="A2" s="2" t="inlineStr">
        <is>
          <t>Footprint: 1,000 Sites in Year 1 (Day-1 Full Build) | Tower: Leased (TowerCo) | Backhaul: FOC | Payment Terms: Deferred (Vendor Financing 20/80 + SUF Phasing)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Tower Lease (incl DC &amp; Passive O&amp;M)</t>
        </is>
      </c>
      <c r="C19" s="42" t="inlineStr">
        <is>
          <t>USD</t>
        </is>
      </c>
      <c r="D19" s="112">
        <f>D5*'Assumptions &amp; Levers'!$C$31*12/'Assumptions &amp; Levers'!$C$5</f>
        <v/>
      </c>
      <c r="E19" s="112">
        <f>E5*'Assumptions &amp; Levers'!$C$31*12/'Assumptions &amp; Levers'!$C$5</f>
        <v/>
      </c>
      <c r="F19" s="112">
        <f>F5*'Assumptions &amp; Levers'!$C$31*12/'Assumptions &amp; Levers'!$C$5</f>
        <v/>
      </c>
      <c r="G19" s="112">
        <f>G5*'Assumptions &amp; Levers'!$C$31*12/'Assumptions &amp; Levers'!$C$5</f>
        <v/>
      </c>
      <c r="H19" s="112">
        <f>H5*'Assumptions &amp; Levers'!$C$31*12/'Assumptions &amp; Levers'!$C$5</f>
        <v/>
      </c>
      <c r="I19" s="112">
        <f>I5*'Assumptions &amp; Levers'!$C$31*12/'Assumptions &amp; Levers'!$C$5</f>
        <v/>
      </c>
      <c r="J19" s="112">
        <f>J5*'Assumptions &amp; Levers'!$C$31*12/'Assumptions &amp; Levers'!$C$5</f>
        <v/>
      </c>
      <c r="K19" s="112">
        <f>K5*'Assumptions &amp; Levers'!$C$31*12/'Assumptions &amp; Levers'!$C$5</f>
        <v/>
      </c>
      <c r="L19" s="112">
        <f>L5*'Assumptions &amp; Levers'!$C$31*12/'Assumptions &amp; Levers'!$C$5</f>
        <v/>
      </c>
      <c r="M19" s="112">
        <f>M5*'Assumptions &amp; Levers'!$C$31*12/'Assumptions &amp; Levers'!$C$5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FOC Leased Fiber Transmission</t>
        </is>
      </c>
      <c r="C23" s="42" t="inlineStr">
        <is>
          <t>USD</t>
        </is>
      </c>
      <c r="D23" s="112">
        <f>D5*'Assumptions &amp; Levers'!$C$37*12/'Assumptions &amp; Levers'!$C$5</f>
        <v/>
      </c>
      <c r="E23" s="112">
        <f>E5*'Assumptions &amp; Levers'!$C$37*12/'Assumptions &amp; Levers'!$C$5</f>
        <v/>
      </c>
      <c r="F23" s="112">
        <f>F5*'Assumptions &amp; Levers'!$C$37*12/'Assumptions &amp; Levers'!$C$5</f>
        <v/>
      </c>
      <c r="G23" s="112">
        <f>G5*'Assumptions &amp; Levers'!$C$37*12/'Assumptions &amp; Levers'!$C$5</f>
        <v/>
      </c>
      <c r="H23" s="112">
        <f>H5*'Assumptions &amp; Levers'!$C$37*12/'Assumptions &amp; Levers'!$C$5</f>
        <v/>
      </c>
      <c r="I23" s="112">
        <f>I5*'Assumptions &amp; Levers'!$C$37*12/'Assumptions &amp; Levers'!$C$5</f>
        <v/>
      </c>
      <c r="J23" s="112">
        <f>J5*'Assumptions &amp; Levers'!$C$37*12/'Assumptions &amp; Levers'!$C$5</f>
        <v/>
      </c>
      <c r="K23" s="112">
        <f>K5*'Assumptions &amp; Levers'!$C$37*12/'Assumptions &amp; Levers'!$C$5</f>
        <v/>
      </c>
      <c r="L23" s="112">
        <f>L5*'Assumptions &amp; Levers'!$C$37*12/'Assumptions &amp; Levers'!$C$5</f>
        <v/>
      </c>
      <c r="M23" s="112">
        <f>M5*'Assumptions &amp; Levers'!$C$37*12/'Assumptions &amp; Levers'!$C$5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>
        <f>(D34+D36+D37)*'Assumptions &amp; Levers'!$C$49</f>
        <v/>
      </c>
      <c r="E41" s="112">
        <f>(E34+E36+E37)*'Assumptions &amp; Levers'!$C$49</f>
        <v/>
      </c>
      <c r="F41" s="112">
        <f>(F34+F36+F37)*'Assumptions &amp; Levers'!$C$49</f>
        <v/>
      </c>
      <c r="G41" s="112">
        <f>(G34+G36+G37)*'Assumptions &amp; Levers'!$C$49</f>
        <v/>
      </c>
      <c r="H41" s="112">
        <f>(H34+H36+H37)*'Assumptions &amp; Levers'!$C$49</f>
        <v/>
      </c>
      <c r="I41" s="112">
        <f>(I34+I36+I37)*'Assumptions &amp; Levers'!$C$49</f>
        <v/>
      </c>
      <c r="J41" s="112">
        <f>(J34+J36+J37)*'Assumptions &amp; Levers'!$C$49</f>
        <v/>
      </c>
      <c r="K41" s="112">
        <f>(K34+K36+K37)*'Assumptions &amp; Levers'!$C$49</f>
        <v/>
      </c>
      <c r="L41" s="112">
        <f>(L34+L36+L37)*'Assumptions &amp; Levers'!$C$49</f>
        <v/>
      </c>
      <c r="M41" s="112">
        <f>(M34+M36+M37)*'Assumptions &amp; Levers'!$C$49</f>
        <v/>
      </c>
      <c r="N41" s="112">
        <f>SUM(D41:M41)</f>
        <v/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D35+D38</f>
        <v/>
      </c>
      <c r="E42" s="112">
        <f>E35+E38</f>
        <v/>
      </c>
      <c r="F42" s="112">
        <f>F35+F38</f>
        <v/>
      </c>
      <c r="G42" s="112">
        <f>G35+G38</f>
        <v/>
      </c>
      <c r="H42" s="112">
        <f>H35+H38</f>
        <v/>
      </c>
      <c r="I42" s="112">
        <f>I35+I38</f>
        <v/>
      </c>
      <c r="J42" s="112">
        <f>J35+J38</f>
        <v/>
      </c>
      <c r="K42" s="112">
        <f>K35+K38</f>
        <v/>
      </c>
      <c r="L42" s="112">
        <f>L35+L38</f>
        <v/>
      </c>
      <c r="M42" s="112">
        <f>M35+M38</f>
        <v/>
      </c>
      <c r="N42" s="112">
        <f>SUM(D42:M42)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>
        <f>D41</f>
        <v/>
      </c>
      <c r="F43" s="112">
        <f>D41+E41</f>
        <v/>
      </c>
      <c r="G43" s="112">
        <f>D41+E41+F41</f>
        <v/>
      </c>
      <c r="H43" s="112">
        <f>D41+E41+F41+G41</f>
        <v/>
      </c>
      <c r="I43" s="112">
        <f>E41+F41+G41+H41</f>
        <v/>
      </c>
      <c r="J43" s="112">
        <f>F41+G41+H41+I41</f>
        <v/>
      </c>
      <c r="K43" s="112">
        <f>G41+H41+I41+J41</f>
        <v/>
      </c>
      <c r="L43" s="112">
        <f>H41+I41+J41+K41</f>
        <v/>
      </c>
      <c r="M43" s="112">
        <f>I41+J41+K41+L41</f>
        <v/>
      </c>
      <c r="N43" s="112">
        <f>SUM(D43:M43)</f>
        <v/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>
        <f>(D41 * 4) * 'Assumptions &amp; Levers'!$C$52</f>
        <v/>
      </c>
      <c r="F44" s="112">
        <f>((D41+E41)*4 - E43) * 'Assumptions &amp; Levers'!$C$52</f>
        <v/>
      </c>
      <c r="G44" s="112">
        <f>((D41+E41+F41)*4 - (E43+F43)) * 'Assumptions &amp; Levers'!$C$52</f>
        <v/>
      </c>
      <c r="H44" s="112">
        <f>((D41+E41+F41+G41)*4 - (E43+F43+G43)) * 'Assumptions &amp; Levers'!$C$52</f>
        <v/>
      </c>
      <c r="I44" s="112">
        <f>((E41+F41+G41+H41)*4 - (F43+G43+H43)) * 'Assumptions &amp; Levers'!$C$52</f>
        <v/>
      </c>
      <c r="J44" s="112">
        <f>((F41+G41+H41+I41)*4 - (G43+H43+I43)) * 'Assumptions &amp; Levers'!$C$52</f>
        <v/>
      </c>
      <c r="K44" s="112">
        <f>((G41+H41+I41+J41)*4 - (H43+I43+J43)) * 'Assumptions &amp; Levers'!$C$52</f>
        <v/>
      </c>
      <c r="L44" s="112">
        <f>((H41+I41+J41+K41)*4 - (I43+J43+K43)) * 'Assumptions &amp; Levers'!$C$52</f>
        <v/>
      </c>
      <c r="M44" s="112">
        <f>((I41+J41+K41+L41)*4 - (J43+K43+L43)) * 'Assumptions &amp; Levers'!$C$52</f>
        <v/>
      </c>
      <c r="N44" s="112">
        <f>SUM(D44:M44)</f>
        <v/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D41+D42+D43+D44</f>
        <v/>
      </c>
      <c r="E45" s="113">
        <f>E41+E42+E43+E44</f>
        <v/>
      </c>
      <c r="F45" s="113">
        <f>F41+F42+F43+F44</f>
        <v/>
      </c>
      <c r="G45" s="113">
        <f>G41+G42+G43+G44</f>
        <v/>
      </c>
      <c r="H45" s="113">
        <f>H41+H42+H43+H44</f>
        <v/>
      </c>
      <c r="I45" s="113">
        <f>I41+I42+I43+I44</f>
        <v/>
      </c>
      <c r="J45" s="113">
        <f>J41+J42+J43+J44</f>
        <v/>
      </c>
      <c r="K45" s="113">
        <f>K41+K42+K43+K44</f>
        <v/>
      </c>
      <c r="L45" s="113">
        <f>L41+L42+L43+L44</f>
        <v/>
      </c>
      <c r="M45" s="113">
        <f>M41+M42+M43+M44</f>
        <v/>
      </c>
      <c r="N45" s="113">
        <f>N41+N42+N43+N44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3: Leased Towers + Starlink Backhaul + Non-Deferred Payment (1,000 Sites Y1)</t>
        </is>
      </c>
    </row>
    <row r="2">
      <c r="A2" s="2" t="inlineStr">
        <is>
          <t>Footprint: 1,000 Sites in Year 1 (Day-1 Full Build) | Tower: Leased (TowerCo) | Backhaul: Starlink | Payment Terms: Non-Deferred (100% Upfront)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Tower Lease (incl DC &amp; Passive O&amp;M)</t>
        </is>
      </c>
      <c r="C19" s="42" t="inlineStr">
        <is>
          <t>USD</t>
        </is>
      </c>
      <c r="D19" s="112">
        <f>D5*'Assumptions &amp; Levers'!$C$31*12/'Assumptions &amp; Levers'!$C$5</f>
        <v/>
      </c>
      <c r="E19" s="112">
        <f>E5*'Assumptions &amp; Levers'!$C$31*12/'Assumptions &amp; Levers'!$C$5</f>
        <v/>
      </c>
      <c r="F19" s="112">
        <f>F5*'Assumptions &amp; Levers'!$C$31*12/'Assumptions &amp; Levers'!$C$5</f>
        <v/>
      </c>
      <c r="G19" s="112">
        <f>G5*'Assumptions &amp; Levers'!$C$31*12/'Assumptions &amp; Levers'!$C$5</f>
        <v/>
      </c>
      <c r="H19" s="112">
        <f>H5*'Assumptions &amp; Levers'!$C$31*12/'Assumptions &amp; Levers'!$C$5</f>
        <v/>
      </c>
      <c r="I19" s="112">
        <f>I5*'Assumptions &amp; Levers'!$C$31*12/'Assumptions &amp; Levers'!$C$5</f>
        <v/>
      </c>
      <c r="J19" s="112">
        <f>J5*'Assumptions &amp; Levers'!$C$31*12/'Assumptions &amp; Levers'!$C$5</f>
        <v/>
      </c>
      <c r="K19" s="112">
        <f>K5*'Assumptions &amp; Levers'!$C$31*12/'Assumptions &amp; Levers'!$C$5</f>
        <v/>
      </c>
      <c r="L19" s="112">
        <f>L5*'Assumptions &amp; Levers'!$C$31*12/'Assumptions &amp; Levers'!$C$5</f>
        <v/>
      </c>
      <c r="M19" s="112">
        <f>M5*'Assumptions &amp; Levers'!$C$31*12/'Assumptions &amp; Levers'!$C$5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Starlink Subscriptions &amp; HW Spares</t>
        </is>
      </c>
      <c r="C23" s="42" t="inlineStr">
        <is>
          <t>USD</t>
        </is>
      </c>
      <c r="D23" s="112">
        <f>D5*('Assumptions &amp; Levers'!$C$41*12/'Assumptions &amp; Levers'!$C$5 + ('Assumptions &amp; Levers'!$C$38+'Assumptions &amp; Levers'!$C$39)*'Assumptions &amp; Levers'!$C$42)</f>
        <v/>
      </c>
      <c r="E23" s="112">
        <f>E5*('Assumptions &amp; Levers'!$C$41*12/'Assumptions &amp; Levers'!$C$5 + ('Assumptions &amp; Levers'!$C$38+'Assumptions &amp; Levers'!$C$39)*'Assumptions &amp; Levers'!$C$42)</f>
        <v/>
      </c>
      <c r="F23" s="112">
        <f>F5*('Assumptions &amp; Levers'!$C$41*12/'Assumptions &amp; Levers'!$C$5 + ('Assumptions &amp; Levers'!$C$38+'Assumptions &amp; Levers'!$C$39)*'Assumptions &amp; Levers'!$C$42)</f>
        <v/>
      </c>
      <c r="G23" s="112">
        <f>G5*('Assumptions &amp; Levers'!$C$41*12/'Assumptions &amp; Levers'!$C$5 + ('Assumptions &amp; Levers'!$C$38+'Assumptions &amp; Levers'!$C$39)*'Assumptions &amp; Levers'!$C$42)</f>
        <v/>
      </c>
      <c r="H23" s="112">
        <f>H5*('Assumptions &amp; Levers'!$C$41*12/'Assumptions &amp; Levers'!$C$5 + ('Assumptions &amp; Levers'!$C$38+'Assumptions &amp; Levers'!$C$39)*'Assumptions &amp; Levers'!$C$42)</f>
        <v/>
      </c>
      <c r="I23" s="112">
        <f>I5*('Assumptions &amp; Levers'!$C$41*12/'Assumptions &amp; Levers'!$C$5 + ('Assumptions &amp; Levers'!$C$38+'Assumptions &amp; Levers'!$C$39)*'Assumptions &amp; Levers'!$C$42)</f>
        <v/>
      </c>
      <c r="J23" s="112">
        <f>J5*('Assumptions &amp; Levers'!$C$41*12/'Assumptions &amp; Levers'!$C$5 + ('Assumptions &amp; Levers'!$C$38+'Assumptions &amp; Levers'!$C$39)*'Assumptions &amp; Levers'!$C$42)</f>
        <v/>
      </c>
      <c r="K23" s="112">
        <f>K5*('Assumptions &amp; Levers'!$C$41*12/'Assumptions &amp; Levers'!$C$5 + ('Assumptions &amp; Levers'!$C$38+'Assumptions &amp; Levers'!$C$39)*'Assumptions &amp; Levers'!$C$42)</f>
        <v/>
      </c>
      <c r="L23" s="112">
        <f>L5*('Assumptions &amp; Levers'!$C$41*12/'Assumptions &amp; Levers'!$C$5 + ('Assumptions &amp; Levers'!$C$38+'Assumptions &amp; Levers'!$C$39)*'Assumptions &amp; Levers'!$C$42)</f>
        <v/>
      </c>
      <c r="M23" s="112">
        <f>M5*('Assumptions &amp; Levers'!$C$41*12/'Assumptions &amp; Levers'!$C$5 + ('Assumptions &amp; Levers'!$C$38+'Assumptions &amp; Levers'!$C$39)*'Assumptions &amp; Levers'!$C$42)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>
        <f>D6*('Assumptions &amp; Levers'!$C$38 + 'Assumptions &amp; Levers'!$C$39 + 'Assumptions &amp; Levers'!$C$40)</f>
        <v/>
      </c>
      <c r="E36" s="112">
        <f>E6*('Assumptions &amp; Levers'!$C$38 + 'Assumptions &amp; Levers'!$C$39 + 'Assumptions &amp; Levers'!$C$40)</f>
        <v/>
      </c>
      <c r="F36" s="112">
        <f>F6*('Assumptions &amp; Levers'!$C$38 + 'Assumptions &amp; Levers'!$C$39 + 'Assumptions &amp; Levers'!$C$40)</f>
        <v/>
      </c>
      <c r="G36" s="112">
        <f>G6*('Assumptions &amp; Levers'!$C$38 + 'Assumptions &amp; Levers'!$C$39 + 'Assumptions &amp; Levers'!$C$40)</f>
        <v/>
      </c>
      <c r="H36" s="112">
        <f>H6*('Assumptions &amp; Levers'!$C$38 + 'Assumptions &amp; Levers'!$C$39 + 'Assumptions &amp; Levers'!$C$40)</f>
        <v/>
      </c>
      <c r="I36" s="112">
        <f>I6*('Assumptions &amp; Levers'!$C$38 + 'Assumptions &amp; Levers'!$C$39 + 'Assumptions &amp; Levers'!$C$40)</f>
        <v/>
      </c>
      <c r="J36" s="112">
        <f>J6*('Assumptions &amp; Levers'!$C$38 + 'Assumptions &amp; Levers'!$C$39 + 'Assumptions &amp; Levers'!$C$40)</f>
        <v/>
      </c>
      <c r="K36" s="112">
        <f>K6*('Assumptions &amp; Levers'!$C$38 + 'Assumptions &amp; Levers'!$C$39 + 'Assumptions &amp; Levers'!$C$40)</f>
        <v/>
      </c>
      <c r="L36" s="112">
        <f>L6*('Assumptions &amp; Levers'!$C$38 + 'Assumptions &amp; Levers'!$C$39 + 'Assumptions &amp; Levers'!$C$40)</f>
        <v/>
      </c>
      <c r="M36" s="112">
        <f>M6*('Assumptions &amp; Levers'!$C$38 + 'Assumptions &amp; Levers'!$C$39 + 'Assumptions &amp; Levers'!$C$40)</f>
        <v/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 t="n">
        <v>0</v>
      </c>
      <c r="E41" s="112" t="n">
        <v>0</v>
      </c>
      <c r="F41" s="112" t="n">
        <v>0</v>
      </c>
      <c r="G41" s="112" t="n">
        <v>0</v>
      </c>
      <c r="H41" s="112" t="n">
        <v>0</v>
      </c>
      <c r="I41" s="112" t="n">
        <v>0</v>
      </c>
      <c r="J41" s="112" t="n">
        <v>0</v>
      </c>
      <c r="K41" s="112" t="n">
        <v>0</v>
      </c>
      <c r="L41" s="112" t="n">
        <v>0</v>
      </c>
      <c r="M41" s="112" t="n">
        <v>0</v>
      </c>
      <c r="N41" s="112" t="n">
        <v>0</v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D39</f>
        <v/>
      </c>
      <c r="E42" s="112">
        <f>E39</f>
        <v/>
      </c>
      <c r="F42" s="112">
        <f>F39</f>
        <v/>
      </c>
      <c r="G42" s="112">
        <f>G39</f>
        <v/>
      </c>
      <c r="H42" s="112">
        <f>H39</f>
        <v/>
      </c>
      <c r="I42" s="112">
        <f>I39</f>
        <v/>
      </c>
      <c r="J42" s="112">
        <f>J39</f>
        <v/>
      </c>
      <c r="K42" s="112">
        <f>K39</f>
        <v/>
      </c>
      <c r="L42" s="112">
        <f>L39</f>
        <v/>
      </c>
      <c r="M42" s="112">
        <f>M39</f>
        <v/>
      </c>
      <c r="N42" s="112">
        <f>N39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0</v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 t="n">
        <v>0</v>
      </c>
      <c r="F44" s="112" t="n">
        <v>0</v>
      </c>
      <c r="G44" s="112" t="n">
        <v>0</v>
      </c>
      <c r="H44" s="112" t="n">
        <v>0</v>
      </c>
      <c r="I44" s="112" t="n">
        <v>0</v>
      </c>
      <c r="J44" s="112" t="n">
        <v>0</v>
      </c>
      <c r="K44" s="112" t="n">
        <v>0</v>
      </c>
      <c r="L44" s="112" t="n">
        <v>0</v>
      </c>
      <c r="M44" s="112" t="n">
        <v>0</v>
      </c>
      <c r="N44" s="112" t="n">
        <v>0</v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D42</f>
        <v/>
      </c>
      <c r="E45" s="113">
        <f>E42</f>
        <v/>
      </c>
      <c r="F45" s="113">
        <f>F42</f>
        <v/>
      </c>
      <c r="G45" s="113">
        <f>G42</f>
        <v/>
      </c>
      <c r="H45" s="113">
        <f>H42</f>
        <v/>
      </c>
      <c r="I45" s="113">
        <f>I42</f>
        <v/>
      </c>
      <c r="J45" s="113">
        <f>J42</f>
        <v/>
      </c>
      <c r="K45" s="113">
        <f>K42</f>
        <v/>
      </c>
      <c r="L45" s="113">
        <f>L42</f>
        <v/>
      </c>
      <c r="M45" s="113">
        <f>M42</f>
        <v/>
      </c>
      <c r="N45" s="113">
        <f>N42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20" sqref="A20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4: Leased Towers + Starlink Backhaul + Deferred Payment (1,000 Sites Y1)</t>
        </is>
      </c>
    </row>
    <row r="2">
      <c r="A2" s="2" t="inlineStr">
        <is>
          <t>Footprint: 1,000 Sites in Year 1 (Day-1 Full Build) | Tower: Leased (TowerCo) | Backhaul: Starlink | Payment Terms: Deferred (Vendor Financing 20/80 + SUF Phasing)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Tower Lease (incl DC &amp; Passive O&amp;M)</t>
        </is>
      </c>
      <c r="C19" s="42" t="inlineStr">
        <is>
          <t>USD</t>
        </is>
      </c>
      <c r="D19" s="112">
        <f>D5*'Assumptions &amp; Levers'!$C$31*12/'Assumptions &amp; Levers'!$C$5</f>
        <v/>
      </c>
      <c r="E19" s="112">
        <f>E5*'Assumptions &amp; Levers'!$C$31*12/'Assumptions &amp; Levers'!$C$5</f>
        <v/>
      </c>
      <c r="F19" s="112">
        <f>F5*'Assumptions &amp; Levers'!$C$31*12/'Assumptions &amp; Levers'!$C$5</f>
        <v/>
      </c>
      <c r="G19" s="112">
        <f>G5*'Assumptions &amp; Levers'!$C$31*12/'Assumptions &amp; Levers'!$C$5</f>
        <v/>
      </c>
      <c r="H19" s="112">
        <f>H5*'Assumptions &amp; Levers'!$C$31*12/'Assumptions &amp; Levers'!$C$5</f>
        <v/>
      </c>
      <c r="I19" s="112">
        <f>I5*'Assumptions &amp; Levers'!$C$31*12/'Assumptions &amp; Levers'!$C$5</f>
        <v/>
      </c>
      <c r="J19" s="112">
        <f>J5*'Assumptions &amp; Levers'!$C$31*12/'Assumptions &amp; Levers'!$C$5</f>
        <v/>
      </c>
      <c r="K19" s="112">
        <f>K5*'Assumptions &amp; Levers'!$C$31*12/'Assumptions &amp; Levers'!$C$5</f>
        <v/>
      </c>
      <c r="L19" s="112">
        <f>L5*'Assumptions &amp; Levers'!$C$31*12/'Assumptions &amp; Levers'!$C$5</f>
        <v/>
      </c>
      <c r="M19" s="112">
        <f>M5*'Assumptions &amp; Levers'!$C$31*12/'Assumptions &amp; Levers'!$C$5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Starlink Subscriptions &amp; HW Spares</t>
        </is>
      </c>
      <c r="C23" s="42" t="inlineStr">
        <is>
          <t>USD</t>
        </is>
      </c>
      <c r="D23" s="112">
        <f>D5*('Assumptions &amp; Levers'!$C$41*12/'Assumptions &amp; Levers'!$C$5 + ('Assumptions &amp; Levers'!$C$38+'Assumptions &amp; Levers'!$C$39)*'Assumptions &amp; Levers'!$C$42)</f>
        <v/>
      </c>
      <c r="E23" s="112">
        <f>E5*('Assumptions &amp; Levers'!$C$41*12/'Assumptions &amp; Levers'!$C$5 + ('Assumptions &amp; Levers'!$C$38+'Assumptions &amp; Levers'!$C$39)*'Assumptions &amp; Levers'!$C$42)</f>
        <v/>
      </c>
      <c r="F23" s="112">
        <f>F5*('Assumptions &amp; Levers'!$C$41*12/'Assumptions &amp; Levers'!$C$5 + ('Assumptions &amp; Levers'!$C$38+'Assumptions &amp; Levers'!$C$39)*'Assumptions &amp; Levers'!$C$42)</f>
        <v/>
      </c>
      <c r="G23" s="112">
        <f>G5*('Assumptions &amp; Levers'!$C$41*12/'Assumptions &amp; Levers'!$C$5 + ('Assumptions &amp; Levers'!$C$38+'Assumptions &amp; Levers'!$C$39)*'Assumptions &amp; Levers'!$C$42)</f>
        <v/>
      </c>
      <c r="H23" s="112">
        <f>H5*('Assumptions &amp; Levers'!$C$41*12/'Assumptions &amp; Levers'!$C$5 + ('Assumptions &amp; Levers'!$C$38+'Assumptions &amp; Levers'!$C$39)*'Assumptions &amp; Levers'!$C$42)</f>
        <v/>
      </c>
      <c r="I23" s="112">
        <f>I5*('Assumptions &amp; Levers'!$C$41*12/'Assumptions &amp; Levers'!$C$5 + ('Assumptions &amp; Levers'!$C$38+'Assumptions &amp; Levers'!$C$39)*'Assumptions &amp; Levers'!$C$42)</f>
        <v/>
      </c>
      <c r="J23" s="112">
        <f>J5*('Assumptions &amp; Levers'!$C$41*12/'Assumptions &amp; Levers'!$C$5 + ('Assumptions &amp; Levers'!$C$38+'Assumptions &amp; Levers'!$C$39)*'Assumptions &amp; Levers'!$C$42)</f>
        <v/>
      </c>
      <c r="K23" s="112">
        <f>K5*('Assumptions &amp; Levers'!$C$41*12/'Assumptions &amp; Levers'!$C$5 + ('Assumptions &amp; Levers'!$C$38+'Assumptions &amp; Levers'!$C$39)*'Assumptions &amp; Levers'!$C$42)</f>
        <v/>
      </c>
      <c r="L23" s="112">
        <f>L5*('Assumptions &amp; Levers'!$C$41*12/'Assumptions &amp; Levers'!$C$5 + ('Assumptions &amp; Levers'!$C$38+'Assumptions &amp; Levers'!$C$39)*'Assumptions &amp; Levers'!$C$42)</f>
        <v/>
      </c>
      <c r="M23" s="112">
        <f>M5*('Assumptions &amp; Levers'!$C$41*12/'Assumptions &amp; Levers'!$C$5 + ('Assumptions &amp; Levers'!$C$38+'Assumptions &amp; Levers'!$C$39)*'Assumptions &amp; Levers'!$C$42)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>
        <f>D6*('Assumptions &amp; Levers'!$C$38 + 'Assumptions &amp; Levers'!$C$39 + 'Assumptions &amp; Levers'!$C$40)</f>
        <v/>
      </c>
      <c r="E36" s="112">
        <f>E6*('Assumptions &amp; Levers'!$C$38 + 'Assumptions &amp; Levers'!$C$39 + 'Assumptions &amp; Levers'!$C$40)</f>
        <v/>
      </c>
      <c r="F36" s="112">
        <f>F6*('Assumptions &amp; Levers'!$C$38 + 'Assumptions &amp; Levers'!$C$39 + 'Assumptions &amp; Levers'!$C$40)</f>
        <v/>
      </c>
      <c r="G36" s="112">
        <f>G6*('Assumptions &amp; Levers'!$C$38 + 'Assumptions &amp; Levers'!$C$39 + 'Assumptions &amp; Levers'!$C$40)</f>
        <v/>
      </c>
      <c r="H36" s="112">
        <f>H6*('Assumptions &amp; Levers'!$C$38 + 'Assumptions &amp; Levers'!$C$39 + 'Assumptions &amp; Levers'!$C$40)</f>
        <v/>
      </c>
      <c r="I36" s="112">
        <f>I6*('Assumptions &amp; Levers'!$C$38 + 'Assumptions &amp; Levers'!$C$39 + 'Assumptions &amp; Levers'!$C$40)</f>
        <v/>
      </c>
      <c r="J36" s="112">
        <f>J6*('Assumptions &amp; Levers'!$C$38 + 'Assumptions &amp; Levers'!$C$39 + 'Assumptions &amp; Levers'!$C$40)</f>
        <v/>
      </c>
      <c r="K36" s="112">
        <f>K6*('Assumptions &amp; Levers'!$C$38 + 'Assumptions &amp; Levers'!$C$39 + 'Assumptions &amp; Levers'!$C$40)</f>
        <v/>
      </c>
      <c r="L36" s="112">
        <f>L6*('Assumptions &amp; Levers'!$C$38 + 'Assumptions &amp; Levers'!$C$39 + 'Assumptions &amp; Levers'!$C$40)</f>
        <v/>
      </c>
      <c r="M36" s="112">
        <f>M6*('Assumptions &amp; Levers'!$C$38 + 'Assumptions &amp; Levers'!$C$39 + 'Assumptions &amp; Levers'!$C$40)</f>
        <v/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>
        <f>(D34+D36+D37)*'Assumptions &amp; Levers'!$C$49</f>
        <v/>
      </c>
      <c r="E41" s="112">
        <f>(E34+E36+E37)*'Assumptions &amp; Levers'!$C$49</f>
        <v/>
      </c>
      <c r="F41" s="112">
        <f>(F34+F36+F37)*'Assumptions &amp; Levers'!$C$49</f>
        <v/>
      </c>
      <c r="G41" s="112">
        <f>(G34+G36+G37)*'Assumptions &amp; Levers'!$C$49</f>
        <v/>
      </c>
      <c r="H41" s="112">
        <f>(H34+H36+H37)*'Assumptions &amp; Levers'!$C$49</f>
        <v/>
      </c>
      <c r="I41" s="112">
        <f>(I34+I36+I37)*'Assumptions &amp; Levers'!$C$49</f>
        <v/>
      </c>
      <c r="J41" s="112">
        <f>(J34+J36+J37)*'Assumptions &amp; Levers'!$C$49</f>
        <v/>
      </c>
      <c r="K41" s="112">
        <f>(K34+K36+K37)*'Assumptions &amp; Levers'!$C$49</f>
        <v/>
      </c>
      <c r="L41" s="112">
        <f>(L34+L36+L37)*'Assumptions &amp; Levers'!$C$49</f>
        <v/>
      </c>
      <c r="M41" s="112">
        <f>(M34+M36+M37)*'Assumptions &amp; Levers'!$C$49</f>
        <v/>
      </c>
      <c r="N41" s="112">
        <f>SUM(D41:M41)</f>
        <v/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D35+D38</f>
        <v/>
      </c>
      <c r="E42" s="112">
        <f>E35+E38</f>
        <v/>
      </c>
      <c r="F42" s="112">
        <f>F35+F38</f>
        <v/>
      </c>
      <c r="G42" s="112">
        <f>G35+G38</f>
        <v/>
      </c>
      <c r="H42" s="112">
        <f>H35+H38</f>
        <v/>
      </c>
      <c r="I42" s="112">
        <f>I35+I38</f>
        <v/>
      </c>
      <c r="J42" s="112">
        <f>J35+J38</f>
        <v/>
      </c>
      <c r="K42" s="112">
        <f>K35+K38</f>
        <v/>
      </c>
      <c r="L42" s="112">
        <f>L35+L38</f>
        <v/>
      </c>
      <c r="M42" s="112">
        <f>M35+M38</f>
        <v/>
      </c>
      <c r="N42" s="112">
        <f>SUM(D42:M42)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>
        <f>D41</f>
        <v/>
      </c>
      <c r="F43" s="112">
        <f>D41+E41</f>
        <v/>
      </c>
      <c r="G43" s="112">
        <f>D41+E41+F41</f>
        <v/>
      </c>
      <c r="H43" s="112">
        <f>D41+E41+F41+G41</f>
        <v/>
      </c>
      <c r="I43" s="112">
        <f>E41+F41+G41+H41</f>
        <v/>
      </c>
      <c r="J43" s="112">
        <f>F41+G41+H41+I41</f>
        <v/>
      </c>
      <c r="K43" s="112">
        <f>G41+H41+I41+J41</f>
        <v/>
      </c>
      <c r="L43" s="112">
        <f>H41+I41+J41+K41</f>
        <v/>
      </c>
      <c r="M43" s="112">
        <f>I41+J41+K41+L41</f>
        <v/>
      </c>
      <c r="N43" s="112">
        <f>SUM(D43:M43)</f>
        <v/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>
        <f>(D41 * 4) * 'Assumptions &amp; Levers'!$C$52</f>
        <v/>
      </c>
      <c r="F44" s="112">
        <f>((D41+E41)*4 - E43) * 'Assumptions &amp; Levers'!$C$52</f>
        <v/>
      </c>
      <c r="G44" s="112">
        <f>((D41+E41+F41)*4 - (E43+F43)) * 'Assumptions &amp; Levers'!$C$52</f>
        <v/>
      </c>
      <c r="H44" s="112">
        <f>((D41+E41+F41+G41)*4 - (E43+F43+G43)) * 'Assumptions &amp; Levers'!$C$52</f>
        <v/>
      </c>
      <c r="I44" s="112">
        <f>((E41+F41+G41+H41)*4 - (F43+G43+H43)) * 'Assumptions &amp; Levers'!$C$52</f>
        <v/>
      </c>
      <c r="J44" s="112">
        <f>((F41+G41+H41+I41)*4 - (G43+H43+I43)) * 'Assumptions &amp; Levers'!$C$52</f>
        <v/>
      </c>
      <c r="K44" s="112">
        <f>((G41+H41+I41+J41)*4 - (H43+I43+J43)) * 'Assumptions &amp; Levers'!$C$52</f>
        <v/>
      </c>
      <c r="L44" s="112">
        <f>((H41+I41+J41+K41)*4 - (I43+J43+K43)) * 'Assumptions &amp; Levers'!$C$52</f>
        <v/>
      </c>
      <c r="M44" s="112">
        <f>((I41+J41+K41+L41)*4 - (J43+K43+L43)) * 'Assumptions &amp; Levers'!$C$52</f>
        <v/>
      </c>
      <c r="N44" s="112">
        <f>SUM(D44:M44)</f>
        <v/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D41+D42+D43+D44</f>
        <v/>
      </c>
      <c r="E45" s="113">
        <f>E41+E42+E43+E44</f>
        <v/>
      </c>
      <c r="F45" s="113">
        <f>F41+F42+F43+F44</f>
        <v/>
      </c>
      <c r="G45" s="113">
        <f>G41+G42+G43+G44</f>
        <v/>
      </c>
      <c r="H45" s="113">
        <f>H41+H42+H43+H44</f>
        <v/>
      </c>
      <c r="I45" s="113">
        <f>I41+I42+I43+I44</f>
        <v/>
      </c>
      <c r="J45" s="113">
        <f>J41+J42+J43+J44</f>
        <v/>
      </c>
      <c r="K45" s="113">
        <f>K41+K42+K43+K44</f>
        <v/>
      </c>
      <c r="L45" s="113">
        <f>L41+L42+L43+L44</f>
        <v/>
      </c>
      <c r="M45" s="113">
        <f>M41+M42+M43+M44</f>
        <v/>
      </c>
      <c r="N45" s="113">
        <f>N41+N42+N43+N44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5: Own Build Towers + FOC Backhaul + Non-Deferred Payment (1,000 Sites Y1)</t>
        </is>
      </c>
    </row>
    <row r="2">
      <c r="A2" s="2" t="inlineStr">
        <is>
          <t>Footprint: 1,000 Sites in Year 1 (Day-1 Full Build) | Tower: Own Build (Monopoles) | Backhaul: FOC | Payment Terms: Non-Deferred (100% Upfront)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Own-Site Passive O&amp;M + DC/Genset Maintenance</t>
        </is>
      </c>
      <c r="C19" s="42" t="inlineStr">
        <is>
          <t>USD</t>
        </is>
      </c>
      <c r="D19" s="112">
        <f>D5*('Assumptions &amp; Levers'!$C$32*12/'Assumptions &amp; Levers'!$C$5 + 'Assumptions &amp; Levers'!$C$29*0.15 + 'Assumptions &amp; Levers'!$C$30*0.15)</f>
        <v/>
      </c>
      <c r="E19" s="112">
        <f>E5*('Assumptions &amp; Levers'!$C$32*12/'Assumptions &amp; Levers'!$C$5 + 'Assumptions &amp; Levers'!$C$29*0.15 + 'Assumptions &amp; Levers'!$C$30*0.15)</f>
        <v/>
      </c>
      <c r="F19" s="112">
        <f>F5*('Assumptions &amp; Levers'!$C$32*12/'Assumptions &amp; Levers'!$C$5 + 'Assumptions &amp; Levers'!$C$29*0.15 + 'Assumptions &amp; Levers'!$C$30*0.15)</f>
        <v/>
      </c>
      <c r="G19" s="112">
        <f>G5*('Assumptions &amp; Levers'!$C$32*12/'Assumptions &amp; Levers'!$C$5 + 'Assumptions &amp; Levers'!$C$29*0.15 + 'Assumptions &amp; Levers'!$C$30*0.15)</f>
        <v/>
      </c>
      <c r="H19" s="112">
        <f>H5*('Assumptions &amp; Levers'!$C$32*12/'Assumptions &amp; Levers'!$C$5 + 'Assumptions &amp; Levers'!$C$29*0.15 + 'Assumptions &amp; Levers'!$C$30*0.15)</f>
        <v/>
      </c>
      <c r="I19" s="112">
        <f>I5*('Assumptions &amp; Levers'!$C$32*12/'Assumptions &amp; Levers'!$C$5 + 'Assumptions &amp; Levers'!$C$29*0.15 + 'Assumptions &amp; Levers'!$C$30*0.15)</f>
        <v/>
      </c>
      <c r="J19" s="112">
        <f>J5*('Assumptions &amp; Levers'!$C$32*12/'Assumptions &amp; Levers'!$C$5 + 'Assumptions &amp; Levers'!$C$29*0.15 + 'Assumptions &amp; Levers'!$C$30*0.15)</f>
        <v/>
      </c>
      <c r="K19" s="112">
        <f>K5*('Assumptions &amp; Levers'!$C$32*12/'Assumptions &amp; Levers'!$C$5 + 'Assumptions &amp; Levers'!$C$29*0.15 + 'Assumptions &amp; Levers'!$C$30*0.15)</f>
        <v/>
      </c>
      <c r="L19" s="112">
        <f>L5*('Assumptions &amp; Levers'!$C$32*12/'Assumptions &amp; Levers'!$C$5 + 'Assumptions &amp; Levers'!$C$29*0.15 + 'Assumptions &amp; Levers'!$C$30*0.15)</f>
        <v/>
      </c>
      <c r="M19" s="112">
        <f>M5*('Assumptions &amp; Levers'!$C$32*12/'Assumptions &amp; Levers'!$C$5 + 'Assumptions &amp; Levers'!$C$29*0.15 + 'Assumptions &amp; Levers'!$C$30*0.15)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>
        <f>D5*('Assumptions &amp; Levers'!$C$33 + 'Assumptions &amp; Levers'!$C$34)*12/'Assumptions &amp; Levers'!$C$5</f>
        <v/>
      </c>
      <c r="E20" s="112">
        <f>E5*('Assumptions &amp; Levers'!$C$33 + 'Assumptions &amp; Levers'!$C$34)*12/'Assumptions &amp; Levers'!$C$5</f>
        <v/>
      </c>
      <c r="F20" s="112">
        <f>F5*('Assumptions &amp; Levers'!$C$33 + 'Assumptions &amp; Levers'!$C$34)*12/'Assumptions &amp; Levers'!$C$5</f>
        <v/>
      </c>
      <c r="G20" s="112">
        <f>G5*('Assumptions &amp; Levers'!$C$33 + 'Assumptions &amp; Levers'!$C$34)*12/'Assumptions &amp; Levers'!$C$5</f>
        <v/>
      </c>
      <c r="H20" s="112">
        <f>H5*('Assumptions &amp; Levers'!$C$33 + 'Assumptions &amp; Levers'!$C$34)*12/'Assumptions &amp; Levers'!$C$5</f>
        <v/>
      </c>
      <c r="I20" s="112">
        <f>I5*('Assumptions &amp; Levers'!$C$33 + 'Assumptions &amp; Levers'!$C$34)*12/'Assumptions &amp; Levers'!$C$5</f>
        <v/>
      </c>
      <c r="J20" s="112">
        <f>J5*('Assumptions &amp; Levers'!$C$33 + 'Assumptions &amp; Levers'!$C$34)*12/'Assumptions &amp; Levers'!$C$5</f>
        <v/>
      </c>
      <c r="K20" s="112">
        <f>K5*('Assumptions &amp; Levers'!$C$33 + 'Assumptions &amp; Levers'!$C$34)*12/'Assumptions &amp; Levers'!$C$5</f>
        <v/>
      </c>
      <c r="L20" s="112">
        <f>L5*('Assumptions &amp; Levers'!$C$33 + 'Assumptions &amp; Levers'!$C$34)*12/'Assumptions &amp; Levers'!$C$5</f>
        <v/>
      </c>
      <c r="M20" s="112">
        <f>M5*('Assumptions &amp; Levers'!$C$33 + 'Assumptions &amp; Levers'!$C$34)*12/'Assumptions &amp; Levers'!$C$5</f>
        <v/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FOC Leased Fiber Transmission</t>
        </is>
      </c>
      <c r="C23" s="42" t="inlineStr">
        <is>
          <t>USD</t>
        </is>
      </c>
      <c r="D23" s="112">
        <f>D5*'Assumptions &amp; Levers'!$C$37*12/'Assumptions &amp; Levers'!$C$5</f>
        <v/>
      </c>
      <c r="E23" s="112">
        <f>E5*'Assumptions &amp; Levers'!$C$37*12/'Assumptions &amp; Levers'!$C$5</f>
        <v/>
      </c>
      <c r="F23" s="112">
        <f>F5*'Assumptions &amp; Levers'!$C$37*12/'Assumptions &amp; Levers'!$C$5</f>
        <v/>
      </c>
      <c r="G23" s="112">
        <f>G5*'Assumptions &amp; Levers'!$C$37*12/'Assumptions &amp; Levers'!$C$5</f>
        <v/>
      </c>
      <c r="H23" s="112">
        <f>H5*'Assumptions &amp; Levers'!$C$37*12/'Assumptions &amp; Levers'!$C$5</f>
        <v/>
      </c>
      <c r="I23" s="112">
        <f>I5*'Assumptions &amp; Levers'!$C$37*12/'Assumptions &amp; Levers'!$C$5</f>
        <v/>
      </c>
      <c r="J23" s="112">
        <f>J5*'Assumptions &amp; Levers'!$C$37*12/'Assumptions &amp; Levers'!$C$5</f>
        <v/>
      </c>
      <c r="K23" s="112">
        <f>K5*'Assumptions &amp; Levers'!$C$37*12/'Assumptions &amp; Levers'!$C$5</f>
        <v/>
      </c>
      <c r="L23" s="112">
        <f>L5*'Assumptions &amp; Levers'!$C$37*12/'Assumptions &amp; Levers'!$C$5</f>
        <v/>
      </c>
      <c r="M23" s="112">
        <f>M5*'Assumptions &amp; Levers'!$C$37*12/'Assumptions &amp; Levers'!$C$5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>
        <f>D6*('Assumptions &amp; Levers'!$C$28/'Assumptions &amp; Levers'!$C$5 + 'Assumptions &amp; Levers'!$C$29 + 'Assumptions &amp; Levers'!$C$30)</f>
        <v/>
      </c>
      <c r="E35" s="112">
        <f>E6*('Assumptions &amp; Levers'!$C$28/'Assumptions &amp; Levers'!$C$5 + 'Assumptions &amp; Levers'!$C$29 + 'Assumptions &amp; Levers'!$C$30)</f>
        <v/>
      </c>
      <c r="F35" s="112">
        <f>F6*('Assumptions &amp; Levers'!$C$28/'Assumptions &amp; Levers'!$C$5 + 'Assumptions &amp; Levers'!$C$29 + 'Assumptions &amp; Levers'!$C$30)</f>
        <v/>
      </c>
      <c r="G35" s="112">
        <f>G6*('Assumptions &amp; Levers'!$C$28/'Assumptions &amp; Levers'!$C$5 + 'Assumptions &amp; Levers'!$C$29 + 'Assumptions &amp; Levers'!$C$30)</f>
        <v/>
      </c>
      <c r="H35" s="112">
        <f>H6*('Assumptions &amp; Levers'!$C$28/'Assumptions &amp; Levers'!$C$5 + 'Assumptions &amp; Levers'!$C$29 + 'Assumptions &amp; Levers'!$C$30)</f>
        <v/>
      </c>
      <c r="I35" s="112">
        <f>I6*('Assumptions &amp; Levers'!$C$28/'Assumptions &amp; Levers'!$C$5 + 'Assumptions &amp; Levers'!$C$29 + 'Assumptions &amp; Levers'!$C$30)</f>
        <v/>
      </c>
      <c r="J35" s="112">
        <f>J6*('Assumptions &amp; Levers'!$C$28/'Assumptions &amp; Levers'!$C$5 + 'Assumptions &amp; Levers'!$C$29 + 'Assumptions &amp; Levers'!$C$30)</f>
        <v/>
      </c>
      <c r="K35" s="112">
        <f>K6*('Assumptions &amp; Levers'!$C$28/'Assumptions &amp; Levers'!$C$5 + 'Assumptions &amp; Levers'!$C$29 + 'Assumptions &amp; Levers'!$C$30)</f>
        <v/>
      </c>
      <c r="L35" s="112">
        <f>L6*('Assumptions &amp; Levers'!$C$28/'Assumptions &amp; Levers'!$C$5 + 'Assumptions &amp; Levers'!$C$29 + 'Assumptions &amp; Levers'!$C$30)</f>
        <v/>
      </c>
      <c r="M35" s="112">
        <f>M6*('Assumptions &amp; Levers'!$C$28/'Assumptions &amp; Levers'!$C$5 + 'Assumptions &amp; Levers'!$C$29 + 'Assumptions &amp; Levers'!$C$30)</f>
        <v/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 t="n">
        <v>0</v>
      </c>
      <c r="E41" s="112" t="n">
        <v>0</v>
      </c>
      <c r="F41" s="112" t="n">
        <v>0</v>
      </c>
      <c r="G41" s="112" t="n">
        <v>0</v>
      </c>
      <c r="H41" s="112" t="n">
        <v>0</v>
      </c>
      <c r="I41" s="112" t="n">
        <v>0</v>
      </c>
      <c r="J41" s="112" t="n">
        <v>0</v>
      </c>
      <c r="K41" s="112" t="n">
        <v>0</v>
      </c>
      <c r="L41" s="112" t="n">
        <v>0</v>
      </c>
      <c r="M41" s="112" t="n">
        <v>0</v>
      </c>
      <c r="N41" s="112" t="n">
        <v>0</v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D39</f>
        <v/>
      </c>
      <c r="E42" s="112">
        <f>E39</f>
        <v/>
      </c>
      <c r="F42" s="112">
        <f>F39</f>
        <v/>
      </c>
      <c r="G42" s="112">
        <f>G39</f>
        <v/>
      </c>
      <c r="H42" s="112">
        <f>H39</f>
        <v/>
      </c>
      <c r="I42" s="112">
        <f>I39</f>
        <v/>
      </c>
      <c r="J42" s="112">
        <f>J39</f>
        <v/>
      </c>
      <c r="K42" s="112">
        <f>K39</f>
        <v/>
      </c>
      <c r="L42" s="112">
        <f>L39</f>
        <v/>
      </c>
      <c r="M42" s="112">
        <f>M39</f>
        <v/>
      </c>
      <c r="N42" s="112">
        <f>N39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0</v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 t="n">
        <v>0</v>
      </c>
      <c r="F44" s="112" t="n">
        <v>0</v>
      </c>
      <c r="G44" s="112" t="n">
        <v>0</v>
      </c>
      <c r="H44" s="112" t="n">
        <v>0</v>
      </c>
      <c r="I44" s="112" t="n">
        <v>0</v>
      </c>
      <c r="J44" s="112" t="n">
        <v>0</v>
      </c>
      <c r="K44" s="112" t="n">
        <v>0</v>
      </c>
      <c r="L44" s="112" t="n">
        <v>0</v>
      </c>
      <c r="M44" s="112" t="n">
        <v>0</v>
      </c>
      <c r="N44" s="112" t="n">
        <v>0</v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D42</f>
        <v/>
      </c>
      <c r="E45" s="113">
        <f>E42</f>
        <v/>
      </c>
      <c r="F45" s="113">
        <f>F42</f>
        <v/>
      </c>
      <c r="G45" s="113">
        <f>G42</f>
        <v/>
      </c>
      <c r="H45" s="113">
        <f>H42</f>
        <v/>
      </c>
      <c r="I45" s="113">
        <f>I42</f>
        <v/>
      </c>
      <c r="J45" s="113">
        <f>J42</f>
        <v/>
      </c>
      <c r="K45" s="113">
        <f>K42</f>
        <v/>
      </c>
      <c r="L45" s="113">
        <f>L42</f>
        <v/>
      </c>
      <c r="M45" s="113">
        <f>M42</f>
        <v/>
      </c>
      <c r="N45" s="113">
        <f>N42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6: Own Build Towers + FOC Backhaul + Deferred Payment (1,000 Sites Y1)</t>
        </is>
      </c>
    </row>
    <row r="2">
      <c r="A2" s="2" t="inlineStr">
        <is>
          <t>Footprint: 1,000 Sites in Year 1 (Day-1 Full Build) | Tower: Own Build (Monopoles) | Backhaul: FOC | Payment Terms: Deferred (Vendor Financing 20/80 + SUF Phasing)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Own-Site Passive O&amp;M + DC/Genset Maintenance</t>
        </is>
      </c>
      <c r="C19" s="42" t="inlineStr">
        <is>
          <t>USD</t>
        </is>
      </c>
      <c r="D19" s="112">
        <f>D5*('Assumptions &amp; Levers'!$C$32*12/'Assumptions &amp; Levers'!$C$5 + 'Assumptions &amp; Levers'!$C$29*0.15 + 'Assumptions &amp; Levers'!$C$30*0.15)</f>
        <v/>
      </c>
      <c r="E19" s="112">
        <f>E5*('Assumptions &amp; Levers'!$C$32*12/'Assumptions &amp; Levers'!$C$5 + 'Assumptions &amp; Levers'!$C$29*0.15 + 'Assumptions &amp; Levers'!$C$30*0.15)</f>
        <v/>
      </c>
      <c r="F19" s="112">
        <f>F5*('Assumptions &amp; Levers'!$C$32*12/'Assumptions &amp; Levers'!$C$5 + 'Assumptions &amp; Levers'!$C$29*0.15 + 'Assumptions &amp; Levers'!$C$30*0.15)</f>
        <v/>
      </c>
      <c r="G19" s="112">
        <f>G5*('Assumptions &amp; Levers'!$C$32*12/'Assumptions &amp; Levers'!$C$5 + 'Assumptions &amp; Levers'!$C$29*0.15 + 'Assumptions &amp; Levers'!$C$30*0.15)</f>
        <v/>
      </c>
      <c r="H19" s="112">
        <f>H5*('Assumptions &amp; Levers'!$C$32*12/'Assumptions &amp; Levers'!$C$5 + 'Assumptions &amp; Levers'!$C$29*0.15 + 'Assumptions &amp; Levers'!$C$30*0.15)</f>
        <v/>
      </c>
      <c r="I19" s="112">
        <f>I5*('Assumptions &amp; Levers'!$C$32*12/'Assumptions &amp; Levers'!$C$5 + 'Assumptions &amp; Levers'!$C$29*0.15 + 'Assumptions &amp; Levers'!$C$30*0.15)</f>
        <v/>
      </c>
      <c r="J19" s="112">
        <f>J5*('Assumptions &amp; Levers'!$C$32*12/'Assumptions &amp; Levers'!$C$5 + 'Assumptions &amp; Levers'!$C$29*0.15 + 'Assumptions &amp; Levers'!$C$30*0.15)</f>
        <v/>
      </c>
      <c r="K19" s="112">
        <f>K5*('Assumptions &amp; Levers'!$C$32*12/'Assumptions &amp; Levers'!$C$5 + 'Assumptions &amp; Levers'!$C$29*0.15 + 'Assumptions &amp; Levers'!$C$30*0.15)</f>
        <v/>
      </c>
      <c r="L19" s="112">
        <f>L5*('Assumptions &amp; Levers'!$C$32*12/'Assumptions &amp; Levers'!$C$5 + 'Assumptions &amp; Levers'!$C$29*0.15 + 'Assumptions &amp; Levers'!$C$30*0.15)</f>
        <v/>
      </c>
      <c r="M19" s="112">
        <f>M5*('Assumptions &amp; Levers'!$C$32*12/'Assumptions &amp; Levers'!$C$5 + 'Assumptions &amp; Levers'!$C$29*0.15 + 'Assumptions &amp; Levers'!$C$30*0.15)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>
        <f>D5*('Assumptions &amp; Levers'!$C$33 + 'Assumptions &amp; Levers'!$C$34)*12/'Assumptions &amp; Levers'!$C$5</f>
        <v/>
      </c>
      <c r="E20" s="112">
        <f>E5*('Assumptions &amp; Levers'!$C$33 + 'Assumptions &amp; Levers'!$C$34)*12/'Assumptions &amp; Levers'!$C$5</f>
        <v/>
      </c>
      <c r="F20" s="112">
        <f>F5*('Assumptions &amp; Levers'!$C$33 + 'Assumptions &amp; Levers'!$C$34)*12/'Assumptions &amp; Levers'!$C$5</f>
        <v/>
      </c>
      <c r="G20" s="112">
        <f>G5*('Assumptions &amp; Levers'!$C$33 + 'Assumptions &amp; Levers'!$C$34)*12/'Assumptions &amp; Levers'!$C$5</f>
        <v/>
      </c>
      <c r="H20" s="112">
        <f>H5*('Assumptions &amp; Levers'!$C$33 + 'Assumptions &amp; Levers'!$C$34)*12/'Assumptions &amp; Levers'!$C$5</f>
        <v/>
      </c>
      <c r="I20" s="112">
        <f>I5*('Assumptions &amp; Levers'!$C$33 + 'Assumptions &amp; Levers'!$C$34)*12/'Assumptions &amp; Levers'!$C$5</f>
        <v/>
      </c>
      <c r="J20" s="112">
        <f>J5*('Assumptions &amp; Levers'!$C$33 + 'Assumptions &amp; Levers'!$C$34)*12/'Assumptions &amp; Levers'!$C$5</f>
        <v/>
      </c>
      <c r="K20" s="112">
        <f>K5*('Assumptions &amp; Levers'!$C$33 + 'Assumptions &amp; Levers'!$C$34)*12/'Assumptions &amp; Levers'!$C$5</f>
        <v/>
      </c>
      <c r="L20" s="112">
        <f>L5*('Assumptions &amp; Levers'!$C$33 + 'Assumptions &amp; Levers'!$C$34)*12/'Assumptions &amp; Levers'!$C$5</f>
        <v/>
      </c>
      <c r="M20" s="112">
        <f>M5*('Assumptions &amp; Levers'!$C$33 + 'Assumptions &amp; Levers'!$C$34)*12/'Assumptions &amp; Levers'!$C$5</f>
        <v/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FOC Leased Fiber Transmission</t>
        </is>
      </c>
      <c r="C23" s="42" t="inlineStr">
        <is>
          <t>USD</t>
        </is>
      </c>
      <c r="D23" s="112">
        <f>D5*'Assumptions &amp; Levers'!$C$37*12/'Assumptions &amp; Levers'!$C$5</f>
        <v/>
      </c>
      <c r="E23" s="112">
        <f>E5*'Assumptions &amp; Levers'!$C$37*12/'Assumptions &amp; Levers'!$C$5</f>
        <v/>
      </c>
      <c r="F23" s="112">
        <f>F5*'Assumptions &amp; Levers'!$C$37*12/'Assumptions &amp; Levers'!$C$5</f>
        <v/>
      </c>
      <c r="G23" s="112">
        <f>G5*'Assumptions &amp; Levers'!$C$37*12/'Assumptions &amp; Levers'!$C$5</f>
        <v/>
      </c>
      <c r="H23" s="112">
        <f>H5*'Assumptions &amp; Levers'!$C$37*12/'Assumptions &amp; Levers'!$C$5</f>
        <v/>
      </c>
      <c r="I23" s="112">
        <f>I5*'Assumptions &amp; Levers'!$C$37*12/'Assumptions &amp; Levers'!$C$5</f>
        <v/>
      </c>
      <c r="J23" s="112">
        <f>J5*'Assumptions &amp; Levers'!$C$37*12/'Assumptions &amp; Levers'!$C$5</f>
        <v/>
      </c>
      <c r="K23" s="112">
        <f>K5*'Assumptions &amp; Levers'!$C$37*12/'Assumptions &amp; Levers'!$C$5</f>
        <v/>
      </c>
      <c r="L23" s="112">
        <f>L5*'Assumptions &amp; Levers'!$C$37*12/'Assumptions &amp; Levers'!$C$5</f>
        <v/>
      </c>
      <c r="M23" s="112">
        <f>M5*'Assumptions &amp; Levers'!$C$37*12/'Assumptions &amp; Levers'!$C$5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>
        <f>D6*('Assumptions &amp; Levers'!$C$28/'Assumptions &amp; Levers'!$C$5 + 'Assumptions &amp; Levers'!$C$29 + 'Assumptions &amp; Levers'!$C$30)</f>
        <v/>
      </c>
      <c r="E35" s="112">
        <f>E6*('Assumptions &amp; Levers'!$C$28/'Assumptions &amp; Levers'!$C$5 + 'Assumptions &amp; Levers'!$C$29 + 'Assumptions &amp; Levers'!$C$30)</f>
        <v/>
      </c>
      <c r="F35" s="112">
        <f>F6*('Assumptions &amp; Levers'!$C$28/'Assumptions &amp; Levers'!$C$5 + 'Assumptions &amp; Levers'!$C$29 + 'Assumptions &amp; Levers'!$C$30)</f>
        <v/>
      </c>
      <c r="G35" s="112">
        <f>G6*('Assumptions &amp; Levers'!$C$28/'Assumptions &amp; Levers'!$C$5 + 'Assumptions &amp; Levers'!$C$29 + 'Assumptions &amp; Levers'!$C$30)</f>
        <v/>
      </c>
      <c r="H35" s="112">
        <f>H6*('Assumptions &amp; Levers'!$C$28/'Assumptions &amp; Levers'!$C$5 + 'Assumptions &amp; Levers'!$C$29 + 'Assumptions &amp; Levers'!$C$30)</f>
        <v/>
      </c>
      <c r="I35" s="112">
        <f>I6*('Assumptions &amp; Levers'!$C$28/'Assumptions &amp; Levers'!$C$5 + 'Assumptions &amp; Levers'!$C$29 + 'Assumptions &amp; Levers'!$C$30)</f>
        <v/>
      </c>
      <c r="J35" s="112">
        <f>J6*('Assumptions &amp; Levers'!$C$28/'Assumptions &amp; Levers'!$C$5 + 'Assumptions &amp; Levers'!$C$29 + 'Assumptions &amp; Levers'!$C$30)</f>
        <v/>
      </c>
      <c r="K35" s="112">
        <f>K6*('Assumptions &amp; Levers'!$C$28/'Assumptions &amp; Levers'!$C$5 + 'Assumptions &amp; Levers'!$C$29 + 'Assumptions &amp; Levers'!$C$30)</f>
        <v/>
      </c>
      <c r="L35" s="112">
        <f>L6*('Assumptions &amp; Levers'!$C$28/'Assumptions &amp; Levers'!$C$5 + 'Assumptions &amp; Levers'!$C$29 + 'Assumptions &amp; Levers'!$C$30)</f>
        <v/>
      </c>
      <c r="M35" s="112">
        <f>M6*('Assumptions &amp; Levers'!$C$28/'Assumptions &amp; Levers'!$C$5 + 'Assumptions &amp; Levers'!$C$29 + 'Assumptions &amp; Levers'!$C$30)</f>
        <v/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>
        <f>(D34+D36+D37)*'Assumptions &amp; Levers'!$C$49</f>
        <v/>
      </c>
      <c r="E41" s="112">
        <f>(E34+E36+E37)*'Assumptions &amp; Levers'!$C$49</f>
        <v/>
      </c>
      <c r="F41" s="112">
        <f>(F34+F36+F37)*'Assumptions &amp; Levers'!$C$49</f>
        <v/>
      </c>
      <c r="G41" s="112">
        <f>(G34+G36+G37)*'Assumptions &amp; Levers'!$C$49</f>
        <v/>
      </c>
      <c r="H41" s="112">
        <f>(H34+H36+H37)*'Assumptions &amp; Levers'!$C$49</f>
        <v/>
      </c>
      <c r="I41" s="112">
        <f>(I34+I36+I37)*'Assumptions &amp; Levers'!$C$49</f>
        <v/>
      </c>
      <c r="J41" s="112">
        <f>(J34+J36+J37)*'Assumptions &amp; Levers'!$C$49</f>
        <v/>
      </c>
      <c r="K41" s="112">
        <f>(K34+K36+K37)*'Assumptions &amp; Levers'!$C$49</f>
        <v/>
      </c>
      <c r="L41" s="112">
        <f>(L34+L36+L37)*'Assumptions &amp; Levers'!$C$49</f>
        <v/>
      </c>
      <c r="M41" s="112">
        <f>(M34+M36+M37)*'Assumptions &amp; Levers'!$C$49</f>
        <v/>
      </c>
      <c r="N41" s="112">
        <f>SUM(D41:M41)</f>
        <v/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D35+D38</f>
        <v/>
      </c>
      <c r="E42" s="112">
        <f>E35+E38</f>
        <v/>
      </c>
      <c r="F42" s="112">
        <f>F35+F38</f>
        <v/>
      </c>
      <c r="G42" s="112">
        <f>G35+G38</f>
        <v/>
      </c>
      <c r="H42" s="112">
        <f>H35+H38</f>
        <v/>
      </c>
      <c r="I42" s="112">
        <f>I35+I38</f>
        <v/>
      </c>
      <c r="J42" s="112">
        <f>J35+J38</f>
        <v/>
      </c>
      <c r="K42" s="112">
        <f>K35+K38</f>
        <v/>
      </c>
      <c r="L42" s="112">
        <f>L35+L38</f>
        <v/>
      </c>
      <c r="M42" s="112">
        <f>M35+M38</f>
        <v/>
      </c>
      <c r="N42" s="112">
        <f>SUM(D42:M42)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>
        <f>D41</f>
        <v/>
      </c>
      <c r="F43" s="112">
        <f>D41+E41</f>
        <v/>
      </c>
      <c r="G43" s="112">
        <f>D41+E41+F41</f>
        <v/>
      </c>
      <c r="H43" s="112">
        <f>D41+E41+F41+G41</f>
        <v/>
      </c>
      <c r="I43" s="112">
        <f>E41+F41+G41+H41</f>
        <v/>
      </c>
      <c r="J43" s="112">
        <f>F41+G41+H41+I41</f>
        <v/>
      </c>
      <c r="K43" s="112">
        <f>G41+H41+I41+J41</f>
        <v/>
      </c>
      <c r="L43" s="112">
        <f>H41+I41+J41+K41</f>
        <v/>
      </c>
      <c r="M43" s="112">
        <f>I41+J41+K41+L41</f>
        <v/>
      </c>
      <c r="N43" s="112">
        <f>SUM(D43:M43)</f>
        <v/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>
        <f>(D41 * 4) * 'Assumptions &amp; Levers'!$C$52</f>
        <v/>
      </c>
      <c r="F44" s="112">
        <f>((D41+E41)*4 - E43) * 'Assumptions &amp; Levers'!$C$52</f>
        <v/>
      </c>
      <c r="G44" s="112">
        <f>((D41+E41+F41)*4 - (E43+F43)) * 'Assumptions &amp; Levers'!$C$52</f>
        <v/>
      </c>
      <c r="H44" s="112">
        <f>((D41+E41+F41+G41)*4 - (E43+F43+G43)) * 'Assumptions &amp; Levers'!$C$52</f>
        <v/>
      </c>
      <c r="I44" s="112">
        <f>((E41+F41+G41+H41)*4 - (F43+G43+H43)) * 'Assumptions &amp; Levers'!$C$52</f>
        <v/>
      </c>
      <c r="J44" s="112">
        <f>((F41+G41+H41+I41)*4 - (G43+H43+I43)) * 'Assumptions &amp; Levers'!$C$52</f>
        <v/>
      </c>
      <c r="K44" s="112">
        <f>((G41+H41+I41+J41)*4 - (H43+I43+J43)) * 'Assumptions &amp; Levers'!$C$52</f>
        <v/>
      </c>
      <c r="L44" s="112">
        <f>((H41+I41+J41+K41)*4 - (I43+J43+K43)) * 'Assumptions &amp; Levers'!$C$52</f>
        <v/>
      </c>
      <c r="M44" s="112">
        <f>((I41+J41+K41+L41)*4 - (J43+K43+L43)) * 'Assumptions &amp; Levers'!$C$52</f>
        <v/>
      </c>
      <c r="N44" s="112">
        <f>SUM(D44:M44)</f>
        <v/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D41+D42+D43+D44</f>
        <v/>
      </c>
      <c r="E45" s="113">
        <f>E41+E42+E43+E44</f>
        <v/>
      </c>
      <c r="F45" s="113">
        <f>F41+F42+F43+F44</f>
        <v/>
      </c>
      <c r="G45" s="113">
        <f>G41+G42+G43+G44</f>
        <v/>
      </c>
      <c r="H45" s="113">
        <f>H41+H42+H43+H44</f>
        <v/>
      </c>
      <c r="I45" s="113">
        <f>I41+I42+I43+I44</f>
        <v/>
      </c>
      <c r="J45" s="113">
        <f>J41+J42+J43+J44</f>
        <v/>
      </c>
      <c r="K45" s="113">
        <f>K41+K42+K43+K44</f>
        <v/>
      </c>
      <c r="L45" s="113">
        <f>L41+L42+L43+L44</f>
        <v/>
      </c>
      <c r="M45" s="113">
        <f>M41+M42+M43+M44</f>
        <v/>
      </c>
      <c r="N45" s="113">
        <f>N41+N42+N43+N44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7: Own Build Towers + Starlink Backhaul + Non-Deferred Payment (1,000 Sites Y1)</t>
        </is>
      </c>
    </row>
    <row r="2">
      <c r="A2" s="2" t="inlineStr">
        <is>
          <t>Footprint: 1,000 Sites in Year 1 (Day-1 Full Build) | Tower: Own Build (Monopoles) | Backhaul: Starlink | Payment Terms: Non-Deferred (100% Upfront)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Own-Site Passive O&amp;M + DC/Genset Maintenance</t>
        </is>
      </c>
      <c r="C19" s="42" t="inlineStr">
        <is>
          <t>USD</t>
        </is>
      </c>
      <c r="D19" s="112">
        <f>D5*('Assumptions &amp; Levers'!$C$32*12/'Assumptions &amp; Levers'!$C$5 + 'Assumptions &amp; Levers'!$C$29*0.15 + 'Assumptions &amp; Levers'!$C$30*0.15)</f>
        <v/>
      </c>
      <c r="E19" s="112">
        <f>E5*('Assumptions &amp; Levers'!$C$32*12/'Assumptions &amp; Levers'!$C$5 + 'Assumptions &amp; Levers'!$C$29*0.15 + 'Assumptions &amp; Levers'!$C$30*0.15)</f>
        <v/>
      </c>
      <c r="F19" s="112">
        <f>F5*('Assumptions &amp; Levers'!$C$32*12/'Assumptions &amp; Levers'!$C$5 + 'Assumptions &amp; Levers'!$C$29*0.15 + 'Assumptions &amp; Levers'!$C$30*0.15)</f>
        <v/>
      </c>
      <c r="G19" s="112">
        <f>G5*('Assumptions &amp; Levers'!$C$32*12/'Assumptions &amp; Levers'!$C$5 + 'Assumptions &amp; Levers'!$C$29*0.15 + 'Assumptions &amp; Levers'!$C$30*0.15)</f>
        <v/>
      </c>
      <c r="H19" s="112">
        <f>H5*('Assumptions &amp; Levers'!$C$32*12/'Assumptions &amp; Levers'!$C$5 + 'Assumptions &amp; Levers'!$C$29*0.15 + 'Assumptions &amp; Levers'!$C$30*0.15)</f>
        <v/>
      </c>
      <c r="I19" s="112">
        <f>I5*('Assumptions &amp; Levers'!$C$32*12/'Assumptions &amp; Levers'!$C$5 + 'Assumptions &amp; Levers'!$C$29*0.15 + 'Assumptions &amp; Levers'!$C$30*0.15)</f>
        <v/>
      </c>
      <c r="J19" s="112">
        <f>J5*('Assumptions &amp; Levers'!$C$32*12/'Assumptions &amp; Levers'!$C$5 + 'Assumptions &amp; Levers'!$C$29*0.15 + 'Assumptions &amp; Levers'!$C$30*0.15)</f>
        <v/>
      </c>
      <c r="K19" s="112">
        <f>K5*('Assumptions &amp; Levers'!$C$32*12/'Assumptions &amp; Levers'!$C$5 + 'Assumptions &amp; Levers'!$C$29*0.15 + 'Assumptions &amp; Levers'!$C$30*0.15)</f>
        <v/>
      </c>
      <c r="L19" s="112">
        <f>L5*('Assumptions &amp; Levers'!$C$32*12/'Assumptions &amp; Levers'!$C$5 + 'Assumptions &amp; Levers'!$C$29*0.15 + 'Assumptions &amp; Levers'!$C$30*0.15)</f>
        <v/>
      </c>
      <c r="M19" s="112">
        <f>M5*('Assumptions &amp; Levers'!$C$32*12/'Assumptions &amp; Levers'!$C$5 + 'Assumptions &amp; Levers'!$C$29*0.15 + 'Assumptions &amp; Levers'!$C$30*0.15)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>
        <f>D5*('Assumptions &amp; Levers'!$C$33 + 'Assumptions &amp; Levers'!$C$34)*12/'Assumptions &amp; Levers'!$C$5</f>
        <v/>
      </c>
      <c r="E20" s="112">
        <f>E5*('Assumptions &amp; Levers'!$C$33 + 'Assumptions &amp; Levers'!$C$34)*12/'Assumptions &amp; Levers'!$C$5</f>
        <v/>
      </c>
      <c r="F20" s="112">
        <f>F5*('Assumptions &amp; Levers'!$C$33 + 'Assumptions &amp; Levers'!$C$34)*12/'Assumptions &amp; Levers'!$C$5</f>
        <v/>
      </c>
      <c r="G20" s="112">
        <f>G5*('Assumptions &amp; Levers'!$C$33 + 'Assumptions &amp; Levers'!$C$34)*12/'Assumptions &amp; Levers'!$C$5</f>
        <v/>
      </c>
      <c r="H20" s="112">
        <f>H5*('Assumptions &amp; Levers'!$C$33 + 'Assumptions &amp; Levers'!$C$34)*12/'Assumptions &amp; Levers'!$C$5</f>
        <v/>
      </c>
      <c r="I20" s="112">
        <f>I5*('Assumptions &amp; Levers'!$C$33 + 'Assumptions &amp; Levers'!$C$34)*12/'Assumptions &amp; Levers'!$C$5</f>
        <v/>
      </c>
      <c r="J20" s="112">
        <f>J5*('Assumptions &amp; Levers'!$C$33 + 'Assumptions &amp; Levers'!$C$34)*12/'Assumptions &amp; Levers'!$C$5</f>
        <v/>
      </c>
      <c r="K20" s="112">
        <f>K5*('Assumptions &amp; Levers'!$C$33 + 'Assumptions &amp; Levers'!$C$34)*12/'Assumptions &amp; Levers'!$C$5</f>
        <v/>
      </c>
      <c r="L20" s="112">
        <f>L5*('Assumptions &amp; Levers'!$C$33 + 'Assumptions &amp; Levers'!$C$34)*12/'Assumptions &amp; Levers'!$C$5</f>
        <v/>
      </c>
      <c r="M20" s="112">
        <f>M5*('Assumptions &amp; Levers'!$C$33 + 'Assumptions &amp; Levers'!$C$34)*12/'Assumptions &amp; Levers'!$C$5</f>
        <v/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Starlink Subscriptions &amp; HW Spares</t>
        </is>
      </c>
      <c r="C23" s="42" t="inlineStr">
        <is>
          <t>USD</t>
        </is>
      </c>
      <c r="D23" s="112">
        <f>D5*('Assumptions &amp; Levers'!$C$41*12/'Assumptions &amp; Levers'!$C$5 + ('Assumptions &amp; Levers'!$C$38+'Assumptions &amp; Levers'!$C$39)*'Assumptions &amp; Levers'!$C$42)</f>
        <v/>
      </c>
      <c r="E23" s="112">
        <f>E5*('Assumptions &amp; Levers'!$C$41*12/'Assumptions &amp; Levers'!$C$5 + ('Assumptions &amp; Levers'!$C$38+'Assumptions &amp; Levers'!$C$39)*'Assumptions &amp; Levers'!$C$42)</f>
        <v/>
      </c>
      <c r="F23" s="112">
        <f>F5*('Assumptions &amp; Levers'!$C$41*12/'Assumptions &amp; Levers'!$C$5 + ('Assumptions &amp; Levers'!$C$38+'Assumptions &amp; Levers'!$C$39)*'Assumptions &amp; Levers'!$C$42)</f>
        <v/>
      </c>
      <c r="G23" s="112">
        <f>G5*('Assumptions &amp; Levers'!$C$41*12/'Assumptions &amp; Levers'!$C$5 + ('Assumptions &amp; Levers'!$C$38+'Assumptions &amp; Levers'!$C$39)*'Assumptions &amp; Levers'!$C$42)</f>
        <v/>
      </c>
      <c r="H23" s="112">
        <f>H5*('Assumptions &amp; Levers'!$C$41*12/'Assumptions &amp; Levers'!$C$5 + ('Assumptions &amp; Levers'!$C$38+'Assumptions &amp; Levers'!$C$39)*'Assumptions &amp; Levers'!$C$42)</f>
        <v/>
      </c>
      <c r="I23" s="112">
        <f>I5*('Assumptions &amp; Levers'!$C$41*12/'Assumptions &amp; Levers'!$C$5 + ('Assumptions &amp; Levers'!$C$38+'Assumptions &amp; Levers'!$C$39)*'Assumptions &amp; Levers'!$C$42)</f>
        <v/>
      </c>
      <c r="J23" s="112">
        <f>J5*('Assumptions &amp; Levers'!$C$41*12/'Assumptions &amp; Levers'!$C$5 + ('Assumptions &amp; Levers'!$C$38+'Assumptions &amp; Levers'!$C$39)*'Assumptions &amp; Levers'!$C$42)</f>
        <v/>
      </c>
      <c r="K23" s="112">
        <f>K5*('Assumptions &amp; Levers'!$C$41*12/'Assumptions &amp; Levers'!$C$5 + ('Assumptions &amp; Levers'!$C$38+'Assumptions &amp; Levers'!$C$39)*'Assumptions &amp; Levers'!$C$42)</f>
        <v/>
      </c>
      <c r="L23" s="112">
        <f>L5*('Assumptions &amp; Levers'!$C$41*12/'Assumptions &amp; Levers'!$C$5 + ('Assumptions &amp; Levers'!$C$38+'Assumptions &amp; Levers'!$C$39)*'Assumptions &amp; Levers'!$C$42)</f>
        <v/>
      </c>
      <c r="M23" s="112">
        <f>M5*('Assumptions &amp; Levers'!$C$41*12/'Assumptions &amp; Levers'!$C$5 + ('Assumptions &amp; Levers'!$C$38+'Assumptions &amp; Levers'!$C$39)*'Assumptions &amp; Levers'!$C$42)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>
        <f>D6*('Assumptions &amp; Levers'!$C$28/'Assumptions &amp; Levers'!$C$5 + 'Assumptions &amp; Levers'!$C$29 + 'Assumptions &amp; Levers'!$C$30)</f>
        <v/>
      </c>
      <c r="E35" s="112">
        <f>E6*('Assumptions &amp; Levers'!$C$28/'Assumptions &amp; Levers'!$C$5 + 'Assumptions &amp; Levers'!$C$29 + 'Assumptions &amp; Levers'!$C$30)</f>
        <v/>
      </c>
      <c r="F35" s="112">
        <f>F6*('Assumptions &amp; Levers'!$C$28/'Assumptions &amp; Levers'!$C$5 + 'Assumptions &amp; Levers'!$C$29 + 'Assumptions &amp; Levers'!$C$30)</f>
        <v/>
      </c>
      <c r="G35" s="112">
        <f>G6*('Assumptions &amp; Levers'!$C$28/'Assumptions &amp; Levers'!$C$5 + 'Assumptions &amp; Levers'!$C$29 + 'Assumptions &amp; Levers'!$C$30)</f>
        <v/>
      </c>
      <c r="H35" s="112">
        <f>H6*('Assumptions &amp; Levers'!$C$28/'Assumptions &amp; Levers'!$C$5 + 'Assumptions &amp; Levers'!$C$29 + 'Assumptions &amp; Levers'!$C$30)</f>
        <v/>
      </c>
      <c r="I35" s="112">
        <f>I6*('Assumptions &amp; Levers'!$C$28/'Assumptions &amp; Levers'!$C$5 + 'Assumptions &amp; Levers'!$C$29 + 'Assumptions &amp; Levers'!$C$30)</f>
        <v/>
      </c>
      <c r="J35" s="112">
        <f>J6*('Assumptions &amp; Levers'!$C$28/'Assumptions &amp; Levers'!$C$5 + 'Assumptions &amp; Levers'!$C$29 + 'Assumptions &amp; Levers'!$C$30)</f>
        <v/>
      </c>
      <c r="K35" s="112">
        <f>K6*('Assumptions &amp; Levers'!$C$28/'Assumptions &amp; Levers'!$C$5 + 'Assumptions &amp; Levers'!$C$29 + 'Assumptions &amp; Levers'!$C$30)</f>
        <v/>
      </c>
      <c r="L35" s="112">
        <f>L6*('Assumptions &amp; Levers'!$C$28/'Assumptions &amp; Levers'!$C$5 + 'Assumptions &amp; Levers'!$C$29 + 'Assumptions &amp; Levers'!$C$30)</f>
        <v/>
      </c>
      <c r="M35" s="112">
        <f>M6*('Assumptions &amp; Levers'!$C$28/'Assumptions &amp; Levers'!$C$5 + 'Assumptions &amp; Levers'!$C$29 + 'Assumptions &amp; Levers'!$C$30)</f>
        <v/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>
        <f>D6*('Assumptions &amp; Levers'!$C$38 + 'Assumptions &amp; Levers'!$C$39 + 'Assumptions &amp; Levers'!$C$40)</f>
        <v/>
      </c>
      <c r="E36" s="112">
        <f>E6*('Assumptions &amp; Levers'!$C$38 + 'Assumptions &amp; Levers'!$C$39 + 'Assumptions &amp; Levers'!$C$40)</f>
        <v/>
      </c>
      <c r="F36" s="112">
        <f>F6*('Assumptions &amp; Levers'!$C$38 + 'Assumptions &amp; Levers'!$C$39 + 'Assumptions &amp; Levers'!$C$40)</f>
        <v/>
      </c>
      <c r="G36" s="112">
        <f>G6*('Assumptions &amp; Levers'!$C$38 + 'Assumptions &amp; Levers'!$C$39 + 'Assumptions &amp; Levers'!$C$40)</f>
        <v/>
      </c>
      <c r="H36" s="112">
        <f>H6*('Assumptions &amp; Levers'!$C$38 + 'Assumptions &amp; Levers'!$C$39 + 'Assumptions &amp; Levers'!$C$40)</f>
        <v/>
      </c>
      <c r="I36" s="112">
        <f>I6*('Assumptions &amp; Levers'!$C$38 + 'Assumptions &amp; Levers'!$C$39 + 'Assumptions &amp; Levers'!$C$40)</f>
        <v/>
      </c>
      <c r="J36" s="112">
        <f>J6*('Assumptions &amp; Levers'!$C$38 + 'Assumptions &amp; Levers'!$C$39 + 'Assumptions &amp; Levers'!$C$40)</f>
        <v/>
      </c>
      <c r="K36" s="112">
        <f>K6*('Assumptions &amp; Levers'!$C$38 + 'Assumptions &amp; Levers'!$C$39 + 'Assumptions &amp; Levers'!$C$40)</f>
        <v/>
      </c>
      <c r="L36" s="112">
        <f>L6*('Assumptions &amp; Levers'!$C$38 + 'Assumptions &amp; Levers'!$C$39 + 'Assumptions &amp; Levers'!$C$40)</f>
        <v/>
      </c>
      <c r="M36" s="112">
        <f>M6*('Assumptions &amp; Levers'!$C$38 + 'Assumptions &amp; Levers'!$C$39 + 'Assumptions &amp; Levers'!$C$40)</f>
        <v/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 t="n">
        <v>0</v>
      </c>
      <c r="E41" s="112" t="n">
        <v>0</v>
      </c>
      <c r="F41" s="112" t="n">
        <v>0</v>
      </c>
      <c r="G41" s="112" t="n">
        <v>0</v>
      </c>
      <c r="H41" s="112" t="n">
        <v>0</v>
      </c>
      <c r="I41" s="112" t="n">
        <v>0</v>
      </c>
      <c r="J41" s="112" t="n">
        <v>0</v>
      </c>
      <c r="K41" s="112" t="n">
        <v>0</v>
      </c>
      <c r="L41" s="112" t="n">
        <v>0</v>
      </c>
      <c r="M41" s="112" t="n">
        <v>0</v>
      </c>
      <c r="N41" s="112" t="n">
        <v>0</v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D39</f>
        <v/>
      </c>
      <c r="E42" s="112">
        <f>E39</f>
        <v/>
      </c>
      <c r="F42" s="112">
        <f>F39</f>
        <v/>
      </c>
      <c r="G42" s="112">
        <f>G39</f>
        <v/>
      </c>
      <c r="H42" s="112">
        <f>H39</f>
        <v/>
      </c>
      <c r="I42" s="112">
        <f>I39</f>
        <v/>
      </c>
      <c r="J42" s="112">
        <f>J39</f>
        <v/>
      </c>
      <c r="K42" s="112">
        <f>K39</f>
        <v/>
      </c>
      <c r="L42" s="112">
        <f>L39</f>
        <v/>
      </c>
      <c r="M42" s="112">
        <f>M39</f>
        <v/>
      </c>
      <c r="N42" s="112">
        <f>N39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0</v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 t="n">
        <v>0</v>
      </c>
      <c r="F44" s="112" t="n">
        <v>0</v>
      </c>
      <c r="G44" s="112" t="n">
        <v>0</v>
      </c>
      <c r="H44" s="112" t="n">
        <v>0</v>
      </c>
      <c r="I44" s="112" t="n">
        <v>0</v>
      </c>
      <c r="J44" s="112" t="n">
        <v>0</v>
      </c>
      <c r="K44" s="112" t="n">
        <v>0</v>
      </c>
      <c r="L44" s="112" t="n">
        <v>0</v>
      </c>
      <c r="M44" s="112" t="n">
        <v>0</v>
      </c>
      <c r="N44" s="112" t="n">
        <v>0</v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D42</f>
        <v/>
      </c>
      <c r="E45" s="113">
        <f>E42</f>
        <v/>
      </c>
      <c r="F45" s="113">
        <f>F42</f>
        <v/>
      </c>
      <c r="G45" s="113">
        <f>G42</f>
        <v/>
      </c>
      <c r="H45" s="113">
        <f>H42</f>
        <v/>
      </c>
      <c r="I45" s="113">
        <f>I42</f>
        <v/>
      </c>
      <c r="J45" s="113">
        <f>J42</f>
        <v/>
      </c>
      <c r="K45" s="113">
        <f>K42</f>
        <v/>
      </c>
      <c r="L45" s="113">
        <f>L42</f>
        <v/>
      </c>
      <c r="M45" s="113">
        <f>M42</f>
        <v/>
      </c>
      <c r="N45" s="113">
        <f>N42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44" customWidth="1" min="2" max="2"/>
    <col width="15" customWidth="1" min="3" max="3"/>
    <col width="16" customWidth="1" min="4" max="14"/>
  </cols>
  <sheetData>
    <row r="1" ht="21" customHeight="1">
      <c r="A1" s="1" t="inlineStr">
        <is>
          <t>Scenario 8: Own Build Towers + Starlink Backhaul + Deferred Payment (1,000 Sites Y1)</t>
        </is>
      </c>
    </row>
    <row r="2">
      <c r="A2" s="2" t="inlineStr">
        <is>
          <t>Footprint: 1,000 Sites in Year 1 (Day-1 Full Build) | Tower: Own Build (Monopoles) | Backhaul: Starlink | Payment Terms: Deferred (Vendor Financing 20/80 + SUF Phasing)</t>
        </is>
      </c>
    </row>
    <row r="3"/>
    <row r="4">
      <c r="A4" s="5" t="inlineStr">
        <is>
          <t>Category</t>
        </is>
      </c>
      <c r="B4" s="5" t="inlineStr">
        <is>
          <t>Line Item</t>
        </is>
      </c>
      <c r="C4" s="5" t="inlineStr">
        <is>
          <t>Unit</t>
        </is>
      </c>
      <c r="D4" s="5" t="inlineStr">
        <is>
          <t>Year 1</t>
        </is>
      </c>
      <c r="E4" s="5" t="inlineStr">
        <is>
          <t>Year 2</t>
        </is>
      </c>
      <c r="F4" s="5" t="inlineStr">
        <is>
          <t>Year 3</t>
        </is>
      </c>
      <c r="G4" s="5" t="inlineStr">
        <is>
          <t>Year 4</t>
        </is>
      </c>
      <c r="H4" s="5" t="inlineStr">
        <is>
          <t>Year 5</t>
        </is>
      </c>
      <c r="I4" s="5" t="inlineStr">
        <is>
          <t>Year 6</t>
        </is>
      </c>
      <c r="J4" s="5" t="inlineStr">
        <is>
          <t>Year 7</t>
        </is>
      </c>
      <c r="K4" s="5" t="inlineStr">
        <is>
          <t>Year 8</t>
        </is>
      </c>
      <c r="L4" s="5" t="inlineStr">
        <is>
          <t>Year 9</t>
        </is>
      </c>
      <c r="M4" s="5" t="inlineStr">
        <is>
          <t>Year 10</t>
        </is>
      </c>
      <c r="N4" s="5" t="inlineStr">
        <is>
          <t>10-Year Total</t>
        </is>
      </c>
    </row>
    <row r="5">
      <c r="A5" s="61" t="inlineStr">
        <is>
          <t>Network Rollout</t>
        </is>
      </c>
      <c r="B5" s="61" t="inlineStr">
        <is>
          <t>Active Cumulative Sites</t>
        </is>
      </c>
      <c r="C5" s="62" t="inlineStr">
        <is>
          <t>sites</t>
        </is>
      </c>
      <c r="D5" s="63">
        <f>'Assumptions &amp; Levers'!$C$10</f>
        <v/>
      </c>
      <c r="E5" s="63">
        <f>D5 + 'Assumptions &amp; Levers'!$C$11</f>
        <v/>
      </c>
      <c r="F5" s="63">
        <f>E5 + 'Assumptions &amp; Levers'!$C$11</f>
        <v/>
      </c>
      <c r="G5" s="63">
        <f>F5 + 'Assumptions &amp; Levers'!$C$11</f>
        <v/>
      </c>
      <c r="H5" s="63">
        <f>G5 + 'Assumptions &amp; Levers'!$C$11</f>
        <v/>
      </c>
      <c r="I5" s="63">
        <f>H5 + 'Assumptions &amp; Levers'!$C$11</f>
        <v/>
      </c>
      <c r="J5" s="63">
        <f>I5 + 'Assumptions &amp; Levers'!$C$11</f>
        <v/>
      </c>
      <c r="K5" s="63">
        <f>J5 + 'Assumptions &amp; Levers'!$C$11</f>
        <v/>
      </c>
      <c r="L5" s="63">
        <f>K5 + 'Assumptions &amp; Levers'!$C$11</f>
        <v/>
      </c>
      <c r="M5" s="63">
        <f>L5 + 'Assumptions &amp; Levers'!$C$11</f>
        <v/>
      </c>
      <c r="N5" s="63">
        <f>M5</f>
        <v/>
      </c>
    </row>
    <row r="6">
      <c r="A6" s="14" t="inlineStr">
        <is>
          <t>Network Rollout</t>
        </is>
      </c>
      <c r="B6" s="14" t="inlineStr">
        <is>
          <t>New Sites Commissioned</t>
        </is>
      </c>
      <c r="C6" s="42" t="inlineStr">
        <is>
          <t>sites</t>
        </is>
      </c>
      <c r="D6" s="64">
        <f>D5</f>
        <v/>
      </c>
      <c r="E6" s="64">
        <f>E5 - D5</f>
        <v/>
      </c>
      <c r="F6" s="64">
        <f>F5 - E5</f>
        <v/>
      </c>
      <c r="G6" s="64">
        <f>G5 - F5</f>
        <v/>
      </c>
      <c r="H6" s="64">
        <f>H5 - G5</f>
        <v/>
      </c>
      <c r="I6" s="64">
        <f>I5 - H5</f>
        <v/>
      </c>
      <c r="J6" s="64">
        <f>J5 - I5</f>
        <v/>
      </c>
      <c r="K6" s="64">
        <f>K5 - J5</f>
        <v/>
      </c>
      <c r="L6" s="64">
        <f>L5 - K5</f>
        <v/>
      </c>
      <c r="M6" s="64">
        <f>M5 - L5</f>
        <v/>
      </c>
      <c r="N6" s="64">
        <f>SUM(D6:M6)</f>
        <v/>
      </c>
    </row>
    <row r="7">
      <c r="A7" s="14" t="inlineStr">
        <is>
          <t>Subscribers</t>
        </is>
      </c>
      <c r="B7" s="14" t="inlineStr">
        <is>
          <t>Closing Active Subscribers</t>
        </is>
      </c>
      <c r="C7" s="42" t="inlineStr">
        <is>
          <t>subs</t>
        </is>
      </c>
      <c r="D7" s="64">
        <f>D5*'Assumptions &amp; Levers'!$C$12 * IF('Assumptions &amp; Levers'!$C$57=3, 1, IF('Assumptions &amp; Levers'!$C$57=2, 0.5, 0.25))</f>
        <v/>
      </c>
      <c r="E7" s="64">
        <f>E5*'Assumptions &amp; Levers'!$C$12 * IF('Assumptions &amp; Levers'!$C$57=3, 1, IF('Assumptions &amp; Levers'!$C$57=2, 0.8, 0.5))</f>
        <v/>
      </c>
      <c r="F7" s="64">
        <f>F5*'Assumptions &amp; Levers'!$C$12 * IF('Assumptions &amp; Levers'!$C$57=3, 1, IF('Assumptions &amp; Levers'!$C$57=2, 1, 0.75))</f>
        <v/>
      </c>
      <c r="G7" s="64">
        <f>G5*'Assumptions &amp; Levers'!$C$12 * IF('Assumptions &amp; Levers'!$C$57=3, 1, IF('Assumptions &amp; Levers'!$C$57=2, 1, 0.9))</f>
        <v/>
      </c>
      <c r="H7" s="64">
        <f>H5*'Assumptions &amp; Levers'!$C$12 * 1</f>
        <v/>
      </c>
      <c r="I7" s="64">
        <f>I5*'Assumptions &amp; Levers'!$C$12 * 1</f>
        <v/>
      </c>
      <c r="J7" s="64">
        <f>J5*'Assumptions &amp; Levers'!$C$12 * 1</f>
        <v/>
      </c>
      <c r="K7" s="64">
        <f>K5*'Assumptions &amp; Levers'!$C$12 * 1</f>
        <v/>
      </c>
      <c r="L7" s="64">
        <f>L5*'Assumptions &amp; Levers'!$C$12 * 1</f>
        <v/>
      </c>
      <c r="M7" s="64">
        <f>M5*'Assumptions &amp; Levers'!$C$12 * 1</f>
        <v/>
      </c>
      <c r="N7" s="64">
        <f>M7</f>
        <v/>
      </c>
    </row>
    <row r="8">
      <c r="A8" s="14" t="inlineStr">
        <is>
          <t>Subscribers</t>
        </is>
      </c>
      <c r="B8" s="14" t="inlineStr">
        <is>
          <t>Average Subscribers (Billing Base)</t>
        </is>
      </c>
      <c r="C8" s="42" t="inlineStr">
        <is>
          <t>subs</t>
        </is>
      </c>
      <c r="D8" s="64">
        <f>IF('Assumptions &amp; Levers'!$C$57=3, D7, D7/2)</f>
        <v/>
      </c>
      <c r="E8" s="64">
        <f>(D7+E7)/2</f>
        <v/>
      </c>
      <c r="F8" s="64">
        <f>(E7+F7)/2</f>
        <v/>
      </c>
      <c r="G8" s="64">
        <f>(F7+G7)/2</f>
        <v/>
      </c>
      <c r="H8" s="64">
        <f>(G7+H7)/2</f>
        <v/>
      </c>
      <c r="I8" s="64">
        <f>(H7+I7)/2</f>
        <v/>
      </c>
      <c r="J8" s="64">
        <f>(I7+J7)/2</f>
        <v/>
      </c>
      <c r="K8" s="64">
        <f>(J7+K7)/2</f>
        <v/>
      </c>
      <c r="L8" s="64">
        <f>(K7+L7)/2</f>
        <v/>
      </c>
      <c r="M8" s="64">
        <f>(L7+M7)/2</f>
        <v/>
      </c>
      <c r="N8" s="64">
        <f>AVERAGE(D8:M8)</f>
        <v/>
      </c>
    </row>
    <row r="9">
      <c r="A9" s="14" t="inlineStr">
        <is>
          <t>Subscribers</t>
        </is>
      </c>
      <c r="B9" s="14" t="inlineStr">
        <is>
          <t>Net Subscriber Additions</t>
        </is>
      </c>
      <c r="C9" s="42" t="inlineStr">
        <is>
          <t>subs</t>
        </is>
      </c>
      <c r="D9" s="64">
        <f>D7</f>
        <v/>
      </c>
      <c r="E9" s="64">
        <f>MAX(0, E7-D7)</f>
        <v/>
      </c>
      <c r="F9" s="64">
        <f>MAX(0, F7-E7)</f>
        <v/>
      </c>
      <c r="G9" s="64">
        <f>MAX(0, G7-F7)</f>
        <v/>
      </c>
      <c r="H9" s="64">
        <f>MAX(0, H7-G7)</f>
        <v/>
      </c>
      <c r="I9" s="64">
        <f>MAX(0, I7-H7)</f>
        <v/>
      </c>
      <c r="J9" s="64">
        <f>MAX(0, J7-I7)</f>
        <v/>
      </c>
      <c r="K9" s="64">
        <f>MAX(0, K7-J7)</f>
        <v/>
      </c>
      <c r="L9" s="64">
        <f>MAX(0, L7-K7)</f>
        <v/>
      </c>
      <c r="M9" s="64">
        <f>MAX(0, M7-L7)</f>
        <v/>
      </c>
      <c r="N9" s="64">
        <f>SUM(D9:M9)</f>
        <v/>
      </c>
    </row>
    <row r="10">
      <c r="A10" s="14" t="inlineStr">
        <is>
          <t>Subscribers</t>
        </is>
      </c>
      <c r="B10" s="14" t="inlineStr">
        <is>
          <t>Churned Subscribers</t>
        </is>
      </c>
      <c r="C10" s="42" t="inlineStr">
        <is>
          <t>subs</t>
        </is>
      </c>
      <c r="D10" s="64">
        <f>D8*'Assumptions &amp; Levers'!$C$14*12</f>
        <v/>
      </c>
      <c r="E10" s="64">
        <f>E8*'Assumptions &amp; Levers'!$C$14*12</f>
        <v/>
      </c>
      <c r="F10" s="64">
        <f>F8*'Assumptions &amp; Levers'!$C$14*12</f>
        <v/>
      </c>
      <c r="G10" s="64">
        <f>G8*'Assumptions &amp; Levers'!$C$14*12</f>
        <v/>
      </c>
      <c r="H10" s="64">
        <f>H8*'Assumptions &amp; Levers'!$C$14*12</f>
        <v/>
      </c>
      <c r="I10" s="64">
        <f>I8*'Assumptions &amp; Levers'!$C$14*12</f>
        <v/>
      </c>
      <c r="J10" s="64">
        <f>J8*'Assumptions &amp; Levers'!$C$14*12</f>
        <v/>
      </c>
      <c r="K10" s="64">
        <f>K8*'Assumptions &amp; Levers'!$C$14*12</f>
        <v/>
      </c>
      <c r="L10" s="64">
        <f>L8*'Assumptions &amp; Levers'!$C$14*12</f>
        <v/>
      </c>
      <c r="M10" s="64">
        <f>M8*'Assumptions &amp; Levers'!$C$14*12</f>
        <v/>
      </c>
      <c r="N10" s="64">
        <f>SUM(D10:M10)</f>
        <v/>
      </c>
    </row>
    <row r="11">
      <c r="A11" s="14" t="inlineStr">
        <is>
          <t>Subscribers</t>
        </is>
      </c>
      <c r="B11" s="14" t="inlineStr">
        <is>
          <t>CPE Units Procured (Net + Replacement)</t>
        </is>
      </c>
      <c r="C11" s="42" t="inlineStr">
        <is>
          <t>units</t>
        </is>
      </c>
      <c r="D11" s="64">
        <f>D9 + D10*(1 - 'Assumptions &amp; Levers'!$C$15*(1 - 'Assumptions &amp; Levers'!$C$16))</f>
        <v/>
      </c>
      <c r="E11" s="64">
        <f>E9 + E10*(1 - 'Assumptions &amp; Levers'!$C$15*(1 - 'Assumptions &amp; Levers'!$C$16))</f>
        <v/>
      </c>
      <c r="F11" s="64">
        <f>F9 + F10*(1 - 'Assumptions &amp; Levers'!$C$15*(1 - 'Assumptions &amp; Levers'!$C$16))</f>
        <v/>
      </c>
      <c r="G11" s="64">
        <f>G9 + G10*(1 - 'Assumptions &amp; Levers'!$C$15*(1 - 'Assumptions &amp; Levers'!$C$16))</f>
        <v/>
      </c>
      <c r="H11" s="64">
        <f>H9 + H10*(1 - 'Assumptions &amp; Levers'!$C$15*(1 - 'Assumptions &amp; Levers'!$C$16))</f>
        <v/>
      </c>
      <c r="I11" s="64">
        <f>I9 + I10*(1 - 'Assumptions &amp; Levers'!$C$15*(1 - 'Assumptions &amp; Levers'!$C$16))</f>
        <v/>
      </c>
      <c r="J11" s="64">
        <f>J9 + J10*(1 - 'Assumptions &amp; Levers'!$C$15*(1 - 'Assumptions &amp; Levers'!$C$16))</f>
        <v/>
      </c>
      <c r="K11" s="64">
        <f>K9 + K10*(1 - 'Assumptions &amp; Levers'!$C$15*(1 - 'Assumptions &amp; Levers'!$C$16))</f>
        <v/>
      </c>
      <c r="L11" s="64">
        <f>L9 + L10*(1 - 'Assumptions &amp; Levers'!$C$15*(1 - 'Assumptions &amp; Levers'!$C$16))</f>
        <v/>
      </c>
      <c r="M11" s="64">
        <f>M9 + M10*(1 - 'Assumptions &amp; Levers'!$C$15*(1 - 'Assumptions &amp; Levers'!$C$16))</f>
        <v/>
      </c>
      <c r="N11" s="64">
        <f>SUM(D11:M11)</f>
        <v/>
      </c>
    </row>
    <row r="12">
      <c r="A12" s="14" t="n"/>
      <c r="B12" s="14" t="n"/>
      <c r="C12" s="4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inlineStr">
        <is>
          <t>Revenue</t>
        </is>
      </c>
      <c r="B13" s="14" t="inlineStr">
        <is>
          <t>Blended Monthly ARPU</t>
        </is>
      </c>
      <c r="C13" s="42" t="inlineStr">
        <is>
          <t>USD/sub/mo</t>
        </is>
      </c>
      <c r="D13" s="65">
        <f>'Assumptions &amp; Levers'!$C$19/'Assumptions &amp; Levers'!$C$5</f>
        <v/>
      </c>
      <c r="E13" s="65">
        <f>'Assumptions &amp; Levers'!$C$19/'Assumptions &amp; Levers'!$C$5</f>
        <v/>
      </c>
      <c r="F13" s="65">
        <f>'Assumptions &amp; Levers'!$C$19/'Assumptions &amp; Levers'!$C$5</f>
        <v/>
      </c>
      <c r="G13" s="65">
        <f>'Assumptions &amp; Levers'!$C$19/'Assumptions &amp; Levers'!$C$5</f>
        <v/>
      </c>
      <c r="H13" s="65">
        <f>'Assumptions &amp; Levers'!$C$19/'Assumptions &amp; Levers'!$C$5</f>
        <v/>
      </c>
      <c r="I13" s="65">
        <f>'Assumptions &amp; Levers'!$C$19/'Assumptions &amp; Levers'!$C$5</f>
        <v/>
      </c>
      <c r="J13" s="65">
        <f>'Assumptions &amp; Levers'!$C$19/'Assumptions &amp; Levers'!$C$5</f>
        <v/>
      </c>
      <c r="K13" s="65">
        <f>'Assumptions &amp; Levers'!$C$19/'Assumptions &amp; Levers'!$C$5</f>
        <v/>
      </c>
      <c r="L13" s="65">
        <f>'Assumptions &amp; Levers'!$C$19/'Assumptions &amp; Levers'!$C$5</f>
        <v/>
      </c>
      <c r="M13" s="65">
        <f>'Assumptions &amp; Levers'!$C$19/'Assumptions &amp; Levers'!$C$5</f>
        <v/>
      </c>
      <c r="N13" s="65">
        <f>M13</f>
        <v/>
      </c>
    </row>
    <row r="14">
      <c r="A14" s="14" t="inlineStr">
        <is>
          <t>Revenue</t>
        </is>
      </c>
      <c r="B14" s="14" t="inlineStr">
        <is>
          <t>Annual Service Revenue</t>
        </is>
      </c>
      <c r="C14" s="42" t="inlineStr">
        <is>
          <t>USD</t>
        </is>
      </c>
      <c r="D14" s="112">
        <f>D8*D13*12</f>
        <v/>
      </c>
      <c r="E14" s="112">
        <f>E8*E13*12</f>
        <v/>
      </c>
      <c r="F14" s="112">
        <f>F8*F13*12</f>
        <v/>
      </c>
      <c r="G14" s="112">
        <f>G8*G13*12</f>
        <v/>
      </c>
      <c r="H14" s="112">
        <f>H8*H13*12</f>
        <v/>
      </c>
      <c r="I14" s="112">
        <f>I8*I13*12</f>
        <v/>
      </c>
      <c r="J14" s="112">
        <f>J8*J13*12</f>
        <v/>
      </c>
      <c r="K14" s="112">
        <f>K8*K13*12</f>
        <v/>
      </c>
      <c r="L14" s="112">
        <f>L8*L13*12</f>
        <v/>
      </c>
      <c r="M14" s="112">
        <f>M8*M13*12</f>
        <v/>
      </c>
      <c r="N14" s="112">
        <f>SUM(D14:M14)</f>
        <v/>
      </c>
    </row>
    <row r="15">
      <c r="A15" s="14" t="inlineStr">
        <is>
          <t>Revenue</t>
        </is>
      </c>
      <c r="B15" s="14" t="inlineStr">
        <is>
          <t>Device Fee Revenue</t>
        </is>
      </c>
      <c r="C15" s="42" t="inlineStr">
        <is>
          <t>USD</t>
        </is>
      </c>
      <c r="D15" s="112">
        <f>D8*'Assumptions &amp; Levers'!$C$20*12/'Assumptions &amp; Levers'!$C$5</f>
        <v/>
      </c>
      <c r="E15" s="112">
        <f>E8*'Assumptions &amp; Levers'!$C$20*12/'Assumptions &amp; Levers'!$C$5</f>
        <v/>
      </c>
      <c r="F15" s="112">
        <f>F8*'Assumptions &amp; Levers'!$C$20*12/'Assumptions &amp; Levers'!$C$5</f>
        <v/>
      </c>
      <c r="G15" s="112">
        <f>G8*'Assumptions &amp; Levers'!$C$20*12/'Assumptions &amp; Levers'!$C$5</f>
        <v/>
      </c>
      <c r="H15" s="112">
        <f>H8*'Assumptions &amp; Levers'!$C$20*12/'Assumptions &amp; Levers'!$C$5</f>
        <v/>
      </c>
      <c r="I15" s="112">
        <f>I8*'Assumptions &amp; Levers'!$C$20*12/'Assumptions &amp; Levers'!$C$5</f>
        <v/>
      </c>
      <c r="J15" s="112">
        <f>J8*'Assumptions &amp; Levers'!$C$20*12/'Assumptions &amp; Levers'!$C$5</f>
        <v/>
      </c>
      <c r="K15" s="112">
        <f>K8*'Assumptions &amp; Levers'!$C$20*12/'Assumptions &amp; Levers'!$C$5</f>
        <v/>
      </c>
      <c r="L15" s="112">
        <f>L8*'Assumptions &amp; Levers'!$C$20*12/'Assumptions &amp; Levers'!$C$5</f>
        <v/>
      </c>
      <c r="M15" s="112">
        <f>M8*'Assumptions &amp; Levers'!$C$20*12/'Assumptions &amp; Levers'!$C$5</f>
        <v/>
      </c>
      <c r="N15" s="112">
        <f>SUM(D15:M15)</f>
        <v/>
      </c>
    </row>
    <row r="16">
      <c r="A16" s="61" t="inlineStr">
        <is>
          <t>Revenue</t>
        </is>
      </c>
      <c r="B16" s="61" t="inlineStr">
        <is>
          <t>TOTAL REVENUE</t>
        </is>
      </c>
      <c r="C16" s="62" t="inlineStr">
        <is>
          <t>USD</t>
        </is>
      </c>
      <c r="D16" s="113">
        <f>D14+D15</f>
        <v/>
      </c>
      <c r="E16" s="113">
        <f>E14+E15</f>
        <v/>
      </c>
      <c r="F16" s="113">
        <f>F14+F15</f>
        <v/>
      </c>
      <c r="G16" s="113">
        <f>G14+G15</f>
        <v/>
      </c>
      <c r="H16" s="113">
        <f>H14+H15</f>
        <v/>
      </c>
      <c r="I16" s="113">
        <f>I14+I15</f>
        <v/>
      </c>
      <c r="J16" s="113">
        <f>J14+J15</f>
        <v/>
      </c>
      <c r="K16" s="113">
        <f>K14+K15</f>
        <v/>
      </c>
      <c r="L16" s="113">
        <f>L14+L15</f>
        <v/>
      </c>
      <c r="M16" s="113">
        <f>M14+M15</f>
        <v/>
      </c>
      <c r="N16" s="113">
        <f>N14+N15</f>
        <v/>
      </c>
    </row>
    <row r="17">
      <c r="A17" s="14" t="n"/>
      <c r="B17" s="14" t="n"/>
      <c r="C17" s="42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inlineStr">
        <is>
          <t>OPEX</t>
        </is>
      </c>
      <c r="B18" s="14" t="inlineStr">
        <is>
          <t>RAN Support &amp; Maintenance (AMC)</t>
        </is>
      </c>
      <c r="C18" s="42" t="inlineStr">
        <is>
          <t>USD</t>
        </is>
      </c>
      <c r="D18" s="112">
        <f>D5*'Assumptions &amp; Levers'!$C$22*0.1</f>
        <v/>
      </c>
      <c r="E18" s="112">
        <f>E5*'Assumptions &amp; Levers'!$C$22*0.1</f>
        <v/>
      </c>
      <c r="F18" s="112">
        <f>F5*'Assumptions &amp; Levers'!$C$22*0.1</f>
        <v/>
      </c>
      <c r="G18" s="112">
        <f>G5*'Assumptions &amp; Levers'!$C$22*0.1</f>
        <v/>
      </c>
      <c r="H18" s="112">
        <f>H5*'Assumptions &amp; Levers'!$C$22*0.1</f>
        <v/>
      </c>
      <c r="I18" s="112">
        <f>I5*'Assumptions &amp; Levers'!$C$22*0.1</f>
        <v/>
      </c>
      <c r="J18" s="112">
        <f>J5*'Assumptions &amp; Levers'!$C$22*0.1</f>
        <v/>
      </c>
      <c r="K18" s="112">
        <f>K5*'Assumptions &amp; Levers'!$C$22*0.1</f>
        <v/>
      </c>
      <c r="L18" s="112">
        <f>L5*'Assumptions &amp; Levers'!$C$22*0.1</f>
        <v/>
      </c>
      <c r="M18" s="112">
        <f>M5*'Assumptions &amp; Levers'!$C$22*0.1</f>
        <v/>
      </c>
      <c r="N18" s="112">
        <f>SUM(D18:M18)</f>
        <v/>
      </c>
    </row>
    <row r="19">
      <c r="A19" s="14" t="inlineStr">
        <is>
          <t>OPEX</t>
        </is>
      </c>
      <c r="B19" s="14" t="inlineStr">
        <is>
          <t>Own-Site Passive O&amp;M + DC/Genset Maintenance</t>
        </is>
      </c>
      <c r="C19" s="42" t="inlineStr">
        <is>
          <t>USD</t>
        </is>
      </c>
      <c r="D19" s="112">
        <f>D5*('Assumptions &amp; Levers'!$C$32*12/'Assumptions &amp; Levers'!$C$5 + 'Assumptions &amp; Levers'!$C$29*0.15 + 'Assumptions &amp; Levers'!$C$30*0.15)</f>
        <v/>
      </c>
      <c r="E19" s="112">
        <f>E5*('Assumptions &amp; Levers'!$C$32*12/'Assumptions &amp; Levers'!$C$5 + 'Assumptions &amp; Levers'!$C$29*0.15 + 'Assumptions &amp; Levers'!$C$30*0.15)</f>
        <v/>
      </c>
      <c r="F19" s="112">
        <f>F5*('Assumptions &amp; Levers'!$C$32*12/'Assumptions &amp; Levers'!$C$5 + 'Assumptions &amp; Levers'!$C$29*0.15 + 'Assumptions &amp; Levers'!$C$30*0.15)</f>
        <v/>
      </c>
      <c r="G19" s="112">
        <f>G5*('Assumptions &amp; Levers'!$C$32*12/'Assumptions &amp; Levers'!$C$5 + 'Assumptions &amp; Levers'!$C$29*0.15 + 'Assumptions &amp; Levers'!$C$30*0.15)</f>
        <v/>
      </c>
      <c r="H19" s="112">
        <f>H5*('Assumptions &amp; Levers'!$C$32*12/'Assumptions &amp; Levers'!$C$5 + 'Assumptions &amp; Levers'!$C$29*0.15 + 'Assumptions &amp; Levers'!$C$30*0.15)</f>
        <v/>
      </c>
      <c r="I19" s="112">
        <f>I5*('Assumptions &amp; Levers'!$C$32*12/'Assumptions &amp; Levers'!$C$5 + 'Assumptions &amp; Levers'!$C$29*0.15 + 'Assumptions &amp; Levers'!$C$30*0.15)</f>
        <v/>
      </c>
      <c r="J19" s="112">
        <f>J5*('Assumptions &amp; Levers'!$C$32*12/'Assumptions &amp; Levers'!$C$5 + 'Assumptions &amp; Levers'!$C$29*0.15 + 'Assumptions &amp; Levers'!$C$30*0.15)</f>
        <v/>
      </c>
      <c r="K19" s="112">
        <f>K5*('Assumptions &amp; Levers'!$C$32*12/'Assumptions &amp; Levers'!$C$5 + 'Assumptions &amp; Levers'!$C$29*0.15 + 'Assumptions &amp; Levers'!$C$30*0.15)</f>
        <v/>
      </c>
      <c r="L19" s="112">
        <f>L5*('Assumptions &amp; Levers'!$C$32*12/'Assumptions &amp; Levers'!$C$5 + 'Assumptions &amp; Levers'!$C$29*0.15 + 'Assumptions &amp; Levers'!$C$30*0.15)</f>
        <v/>
      </c>
      <c r="M19" s="112">
        <f>M5*('Assumptions &amp; Levers'!$C$32*12/'Assumptions &amp; Levers'!$C$5 + 'Assumptions &amp; Levers'!$C$29*0.15 + 'Assumptions &amp; Levers'!$C$30*0.15)</f>
        <v/>
      </c>
      <c r="N19" s="112">
        <f>SUM(D19:M19)</f>
        <v/>
      </c>
    </row>
    <row r="20">
      <c r="A20" s="14" t="inlineStr">
        <is>
          <t>OPEX</t>
        </is>
      </c>
      <c r="B20" s="14" t="inlineStr">
        <is>
          <t>Land Lease &amp; Compound Security</t>
        </is>
      </c>
      <c r="C20" s="42" t="inlineStr">
        <is>
          <t>USD</t>
        </is>
      </c>
      <c r="D20" s="112">
        <f>D5*('Assumptions &amp; Levers'!$C$33 + 'Assumptions &amp; Levers'!$C$34)*12/'Assumptions &amp; Levers'!$C$5</f>
        <v/>
      </c>
      <c r="E20" s="112">
        <f>E5*('Assumptions &amp; Levers'!$C$33 + 'Assumptions &amp; Levers'!$C$34)*12/'Assumptions &amp; Levers'!$C$5</f>
        <v/>
      </c>
      <c r="F20" s="112">
        <f>F5*('Assumptions &amp; Levers'!$C$33 + 'Assumptions &amp; Levers'!$C$34)*12/'Assumptions &amp; Levers'!$C$5</f>
        <v/>
      </c>
      <c r="G20" s="112">
        <f>G5*('Assumptions &amp; Levers'!$C$33 + 'Assumptions &amp; Levers'!$C$34)*12/'Assumptions &amp; Levers'!$C$5</f>
        <v/>
      </c>
      <c r="H20" s="112">
        <f>H5*('Assumptions &amp; Levers'!$C$33 + 'Assumptions &amp; Levers'!$C$34)*12/'Assumptions &amp; Levers'!$C$5</f>
        <v/>
      </c>
      <c r="I20" s="112">
        <f>I5*('Assumptions &amp; Levers'!$C$33 + 'Assumptions &amp; Levers'!$C$34)*12/'Assumptions &amp; Levers'!$C$5</f>
        <v/>
      </c>
      <c r="J20" s="112">
        <f>J5*('Assumptions &amp; Levers'!$C$33 + 'Assumptions &amp; Levers'!$C$34)*12/'Assumptions &amp; Levers'!$C$5</f>
        <v/>
      </c>
      <c r="K20" s="112">
        <f>K5*('Assumptions &amp; Levers'!$C$33 + 'Assumptions &amp; Levers'!$C$34)*12/'Assumptions &amp; Levers'!$C$5</f>
        <v/>
      </c>
      <c r="L20" s="112">
        <f>L5*('Assumptions &amp; Levers'!$C$33 + 'Assumptions &amp; Levers'!$C$34)*12/'Assumptions &amp; Levers'!$C$5</f>
        <v/>
      </c>
      <c r="M20" s="112">
        <f>M5*('Assumptions &amp; Levers'!$C$33 + 'Assumptions &amp; Levers'!$C$34)*12/'Assumptions &amp; Levers'!$C$5</f>
        <v/>
      </c>
      <c r="N20" s="112">
        <f>SUM(D20:M20)</f>
        <v/>
      </c>
    </row>
    <row r="21">
      <c r="A21" s="14" t="inlineStr">
        <is>
          <t>OPEX</t>
        </is>
      </c>
      <c r="B21" s="14" t="inlineStr">
        <is>
          <t>Electricity &amp; Power Utility</t>
        </is>
      </c>
      <c r="C21" s="42" t="inlineStr">
        <is>
          <t>USD</t>
        </is>
      </c>
      <c r="D21" s="112">
        <f>D5*'Assumptions &amp; Levers'!$C$35*12/'Assumptions &amp; Levers'!$C$5</f>
        <v/>
      </c>
      <c r="E21" s="112">
        <f>E5*'Assumptions &amp; Levers'!$C$35*12/'Assumptions &amp; Levers'!$C$5</f>
        <v/>
      </c>
      <c r="F21" s="112">
        <f>F5*'Assumptions &amp; Levers'!$C$35*12/'Assumptions &amp; Levers'!$C$5</f>
        <v/>
      </c>
      <c r="G21" s="112">
        <f>G5*'Assumptions &amp; Levers'!$C$35*12/'Assumptions &amp; Levers'!$C$5</f>
        <v/>
      </c>
      <c r="H21" s="112">
        <f>H5*'Assumptions &amp; Levers'!$C$35*12/'Assumptions &amp; Levers'!$C$5</f>
        <v/>
      </c>
      <c r="I21" s="112">
        <f>I5*'Assumptions &amp; Levers'!$C$35*12/'Assumptions &amp; Levers'!$C$5</f>
        <v/>
      </c>
      <c r="J21" s="112">
        <f>J5*'Assumptions &amp; Levers'!$C$35*12/'Assumptions &amp; Levers'!$C$5</f>
        <v/>
      </c>
      <c r="K21" s="112">
        <f>K5*'Assumptions &amp; Levers'!$C$35*12/'Assumptions &amp; Levers'!$C$5</f>
        <v/>
      </c>
      <c r="L21" s="112">
        <f>L5*'Assumptions &amp; Levers'!$C$35*12/'Assumptions &amp; Levers'!$C$5</f>
        <v/>
      </c>
      <c r="M21" s="112">
        <f>M5*'Assumptions &amp; Levers'!$C$35*12/'Assumptions &amp; Levers'!$C$5</f>
        <v/>
      </c>
      <c r="N21" s="112">
        <f>SUM(D21:M21)</f>
        <v/>
      </c>
    </row>
    <row r="22">
      <c r="A22" s="14" t="inlineStr">
        <is>
          <t>OPEX</t>
        </is>
      </c>
      <c r="B22" s="14" t="inlineStr">
        <is>
          <t>Telecom Active O&amp;M Services</t>
        </is>
      </c>
      <c r="C22" s="42" t="inlineStr">
        <is>
          <t>USD</t>
        </is>
      </c>
      <c r="D22" s="112">
        <f>D5*'Assumptions &amp; Levers'!$C$36*12/'Assumptions &amp; Levers'!$C$5</f>
        <v/>
      </c>
      <c r="E22" s="112">
        <f>E5*'Assumptions &amp; Levers'!$C$36*12/'Assumptions &amp; Levers'!$C$5</f>
        <v/>
      </c>
      <c r="F22" s="112">
        <f>F5*'Assumptions &amp; Levers'!$C$36*12/'Assumptions &amp; Levers'!$C$5</f>
        <v/>
      </c>
      <c r="G22" s="112">
        <f>G5*'Assumptions &amp; Levers'!$C$36*12/'Assumptions &amp; Levers'!$C$5</f>
        <v/>
      </c>
      <c r="H22" s="112">
        <f>H5*'Assumptions &amp; Levers'!$C$36*12/'Assumptions &amp; Levers'!$C$5</f>
        <v/>
      </c>
      <c r="I22" s="112">
        <f>I5*'Assumptions &amp; Levers'!$C$36*12/'Assumptions &amp; Levers'!$C$5</f>
        <v/>
      </c>
      <c r="J22" s="112">
        <f>J5*'Assumptions &amp; Levers'!$C$36*12/'Assumptions &amp; Levers'!$C$5</f>
        <v/>
      </c>
      <c r="K22" s="112">
        <f>K5*'Assumptions &amp; Levers'!$C$36*12/'Assumptions &amp; Levers'!$C$5</f>
        <v/>
      </c>
      <c r="L22" s="112">
        <f>L5*'Assumptions &amp; Levers'!$C$36*12/'Assumptions &amp; Levers'!$C$5</f>
        <v/>
      </c>
      <c r="M22" s="112">
        <f>M5*'Assumptions &amp; Levers'!$C$36*12/'Assumptions &amp; Levers'!$C$5</f>
        <v/>
      </c>
      <c r="N22" s="112">
        <f>SUM(D22:M22)</f>
        <v/>
      </c>
    </row>
    <row r="23">
      <c r="A23" s="14" t="inlineStr">
        <is>
          <t>OPEX</t>
        </is>
      </c>
      <c r="B23" s="14" t="inlineStr">
        <is>
          <t>Starlink Subscriptions &amp; HW Spares</t>
        </is>
      </c>
      <c r="C23" s="42" t="inlineStr">
        <is>
          <t>USD</t>
        </is>
      </c>
      <c r="D23" s="112">
        <f>D5*('Assumptions &amp; Levers'!$C$41*12/'Assumptions &amp; Levers'!$C$5 + ('Assumptions &amp; Levers'!$C$38+'Assumptions &amp; Levers'!$C$39)*'Assumptions &amp; Levers'!$C$42)</f>
        <v/>
      </c>
      <c r="E23" s="112">
        <f>E5*('Assumptions &amp; Levers'!$C$41*12/'Assumptions &amp; Levers'!$C$5 + ('Assumptions &amp; Levers'!$C$38+'Assumptions &amp; Levers'!$C$39)*'Assumptions &amp; Levers'!$C$42)</f>
        <v/>
      </c>
      <c r="F23" s="112">
        <f>F5*('Assumptions &amp; Levers'!$C$41*12/'Assumptions &amp; Levers'!$C$5 + ('Assumptions &amp; Levers'!$C$38+'Assumptions &amp; Levers'!$C$39)*'Assumptions &amp; Levers'!$C$42)</f>
        <v/>
      </c>
      <c r="G23" s="112">
        <f>G5*('Assumptions &amp; Levers'!$C$41*12/'Assumptions &amp; Levers'!$C$5 + ('Assumptions &amp; Levers'!$C$38+'Assumptions &amp; Levers'!$C$39)*'Assumptions &amp; Levers'!$C$42)</f>
        <v/>
      </c>
      <c r="H23" s="112">
        <f>H5*('Assumptions &amp; Levers'!$C$41*12/'Assumptions &amp; Levers'!$C$5 + ('Assumptions &amp; Levers'!$C$38+'Assumptions &amp; Levers'!$C$39)*'Assumptions &amp; Levers'!$C$42)</f>
        <v/>
      </c>
      <c r="I23" s="112">
        <f>I5*('Assumptions &amp; Levers'!$C$41*12/'Assumptions &amp; Levers'!$C$5 + ('Assumptions &amp; Levers'!$C$38+'Assumptions &amp; Levers'!$C$39)*'Assumptions &amp; Levers'!$C$42)</f>
        <v/>
      </c>
      <c r="J23" s="112">
        <f>J5*('Assumptions &amp; Levers'!$C$41*12/'Assumptions &amp; Levers'!$C$5 + ('Assumptions &amp; Levers'!$C$38+'Assumptions &amp; Levers'!$C$39)*'Assumptions &amp; Levers'!$C$42)</f>
        <v/>
      </c>
      <c r="K23" s="112">
        <f>K5*('Assumptions &amp; Levers'!$C$41*12/'Assumptions &amp; Levers'!$C$5 + ('Assumptions &amp; Levers'!$C$38+'Assumptions &amp; Levers'!$C$39)*'Assumptions &amp; Levers'!$C$42)</f>
        <v/>
      </c>
      <c r="L23" s="112">
        <f>L5*('Assumptions &amp; Levers'!$C$41*12/'Assumptions &amp; Levers'!$C$5 + ('Assumptions &amp; Levers'!$C$38+'Assumptions &amp; Levers'!$C$39)*'Assumptions &amp; Levers'!$C$42)</f>
        <v/>
      </c>
      <c r="M23" s="112">
        <f>M5*('Assumptions &amp; Levers'!$C$41*12/'Assumptions &amp; Levers'!$C$5 + ('Assumptions &amp; Levers'!$C$38+'Assumptions &amp; Levers'!$C$39)*'Assumptions &amp; Levers'!$C$42)</f>
        <v/>
      </c>
      <c r="N23" s="112">
        <f>SUM(D23:M23)</f>
        <v/>
      </c>
    </row>
    <row r="24">
      <c r="A24" s="14" t="inlineStr">
        <is>
          <t>OPEX</t>
        </is>
      </c>
      <c r="B24" s="14" t="inlineStr">
        <is>
          <t>National IP Transit &amp; Core Peering</t>
        </is>
      </c>
      <c r="C24" s="42" t="inlineStr">
        <is>
          <t>USD</t>
        </is>
      </c>
      <c r="D24" s="112">
        <f>'Assumptions &amp; Levers'!$C$43</f>
        <v/>
      </c>
      <c r="E24" s="112">
        <f>'Assumptions &amp; Levers'!$C$43</f>
        <v/>
      </c>
      <c r="F24" s="112">
        <f>'Assumptions &amp; Levers'!$C$43</f>
        <v/>
      </c>
      <c r="G24" s="112">
        <f>'Assumptions &amp; Levers'!$C$43</f>
        <v/>
      </c>
      <c r="H24" s="112">
        <f>'Assumptions &amp; Levers'!$C$43</f>
        <v/>
      </c>
      <c r="I24" s="112">
        <f>'Assumptions &amp; Levers'!$C$43</f>
        <v/>
      </c>
      <c r="J24" s="112">
        <f>'Assumptions &amp; Levers'!$C$43</f>
        <v/>
      </c>
      <c r="K24" s="112">
        <f>'Assumptions &amp; Levers'!$C$43</f>
        <v/>
      </c>
      <c r="L24" s="112">
        <f>'Assumptions &amp; Levers'!$C$43</f>
        <v/>
      </c>
      <c r="M24" s="112">
        <f>'Assumptions &amp; Levers'!$C$43</f>
        <v/>
      </c>
      <c r="N24" s="112">
        <f>SUM(D24:M24)</f>
        <v/>
      </c>
    </row>
    <row r="25">
      <c r="A25" s="14" t="inlineStr">
        <is>
          <t>OPEX</t>
        </is>
      </c>
      <c r="B25" s="14" t="inlineStr">
        <is>
          <t>CPE Support &amp; Device Maintenance</t>
        </is>
      </c>
      <c r="C25" s="42" t="inlineStr">
        <is>
          <t>USD</t>
        </is>
      </c>
      <c r="D25" s="112">
        <f>D7*'Assumptions &amp; Levers'!$C$27*0.03</f>
        <v/>
      </c>
      <c r="E25" s="112">
        <f>E7*'Assumptions &amp; Levers'!$C$27*0.03</f>
        <v/>
      </c>
      <c r="F25" s="112">
        <f>F7*'Assumptions &amp; Levers'!$C$27*0.03</f>
        <v/>
      </c>
      <c r="G25" s="112">
        <f>G7*'Assumptions &amp; Levers'!$C$27*0.03</f>
        <v/>
      </c>
      <c r="H25" s="112">
        <f>H7*'Assumptions &amp; Levers'!$C$27*0.03</f>
        <v/>
      </c>
      <c r="I25" s="112">
        <f>I7*'Assumptions &amp; Levers'!$C$27*0.03</f>
        <v/>
      </c>
      <c r="J25" s="112">
        <f>J7*'Assumptions &amp; Levers'!$C$27*0.03</f>
        <v/>
      </c>
      <c r="K25" s="112">
        <f>K7*'Assumptions &amp; Levers'!$C$27*0.03</f>
        <v/>
      </c>
      <c r="L25" s="112">
        <f>L7*'Assumptions &amp; Levers'!$C$27*0.03</f>
        <v/>
      </c>
      <c r="M25" s="112">
        <f>M7*'Assumptions &amp; Levers'!$C$27*0.03</f>
        <v/>
      </c>
      <c r="N25" s="112">
        <f>SUM(D25:M25)</f>
        <v/>
      </c>
    </row>
    <row r="26">
      <c r="A26" s="14" t="inlineStr">
        <is>
          <t>OPEX</t>
        </is>
      </c>
      <c r="B26" s="14" t="inlineStr">
        <is>
          <t>5G Core &amp; OSS/BSS Annual AMC/Support</t>
        </is>
      </c>
      <c r="C26" s="42" t="inlineStr">
        <is>
          <t>USD</t>
        </is>
      </c>
      <c r="D26" s="112">
        <f>'Assumptions &amp; Levers'!$C$61</f>
        <v/>
      </c>
      <c r="E26" s="112">
        <f>'Assumptions &amp; Levers'!$C$61 + SUM($E$37:E37)*'Assumptions &amp; Levers'!$C$62</f>
        <v/>
      </c>
      <c r="F26" s="112">
        <f>'Assumptions &amp; Levers'!$C$61 + SUM($E$37:F37)*'Assumptions &amp; Levers'!$C$62</f>
        <v/>
      </c>
      <c r="G26" s="112">
        <f>'Assumptions &amp; Levers'!$C$61 + SUM($E$37:G37)*'Assumptions &amp; Levers'!$C$62</f>
        <v/>
      </c>
      <c r="H26" s="112">
        <f>'Assumptions &amp; Levers'!$C$61 + SUM($E$37:H37)*'Assumptions &amp; Levers'!$C$62</f>
        <v/>
      </c>
      <c r="I26" s="112">
        <f>'Assumptions &amp; Levers'!$C$61 + SUM($E$37:I37)*'Assumptions &amp; Levers'!$C$62</f>
        <v/>
      </c>
      <c r="J26" s="112">
        <f>'Assumptions &amp; Levers'!$C$61 + SUM($E$37:J37)*'Assumptions &amp; Levers'!$C$62</f>
        <v/>
      </c>
      <c r="K26" s="112">
        <f>'Assumptions &amp; Levers'!$C$61 + SUM($E$37:K37)*'Assumptions &amp; Levers'!$C$62</f>
        <v/>
      </c>
      <c r="L26" s="112">
        <f>'Assumptions &amp; Levers'!$C$61 + SUM($E$37:L37)*'Assumptions &amp; Levers'!$C$62</f>
        <v/>
      </c>
      <c r="M26" s="112">
        <f>'Assumptions &amp; Levers'!$C$61 + SUM($E$37:M37)*'Assumptions &amp; Levers'!$C$62</f>
        <v/>
      </c>
      <c r="N26" s="112">
        <f>SUM(D26:M26)</f>
        <v/>
      </c>
    </row>
    <row r="27">
      <c r="A27" s="14" t="inlineStr">
        <is>
          <t>OPEX</t>
        </is>
      </c>
      <c r="B27" s="14" t="inlineStr">
        <is>
          <t>Spectrum User Fees (SUF)</t>
        </is>
      </c>
      <c r="C27" s="42" t="inlineStr">
        <is>
          <t>USD</t>
        </is>
      </c>
      <c r="D27" s="112">
        <f>'Assumptions &amp; Levers'!$C$46/'Assumptions &amp; Levers'!$C$5</f>
        <v/>
      </c>
      <c r="E27" s="112">
        <f>'Assumptions &amp; Levers'!$C$46/'Assumptions &amp; Levers'!$C$5</f>
        <v/>
      </c>
      <c r="F27" s="112">
        <f>'Assumptions &amp; Levers'!$C$46/'Assumptions &amp; Levers'!$C$5</f>
        <v/>
      </c>
      <c r="G27" s="112">
        <f>'Assumptions &amp; Levers'!$C$46/'Assumptions &amp; Levers'!$C$5</f>
        <v/>
      </c>
      <c r="H27" s="112">
        <f>'Assumptions &amp; Levers'!$C$46/'Assumptions &amp; Levers'!$C$5</f>
        <v/>
      </c>
      <c r="I27" s="112">
        <f>'Assumptions &amp; Levers'!$C$46/'Assumptions &amp; Levers'!$C$5</f>
        <v/>
      </c>
      <c r="J27" s="112">
        <f>'Assumptions &amp; Levers'!$C$46/'Assumptions &amp; Levers'!$C$5</f>
        <v/>
      </c>
      <c r="K27" s="112">
        <f>'Assumptions &amp; Levers'!$C$46/'Assumptions &amp; Levers'!$C$5</f>
        <v/>
      </c>
      <c r="L27" s="112">
        <f>'Assumptions &amp; Levers'!$C$46/'Assumptions &amp; Levers'!$C$5</f>
        <v/>
      </c>
      <c r="M27" s="112">
        <f>'Assumptions &amp; Levers'!$C$46/'Assumptions &amp; Levers'!$C$5</f>
        <v/>
      </c>
      <c r="N27" s="112">
        <f>SUM(D27:M27)</f>
        <v/>
      </c>
    </row>
    <row r="28">
      <c r="A28" s="14" t="inlineStr">
        <is>
          <t>OPEX</t>
        </is>
      </c>
      <c r="B28" s="14" t="inlineStr">
        <is>
          <t>NTC Station Licensing &amp; Inspections</t>
        </is>
      </c>
      <c r="C28" s="42" t="inlineStr">
        <is>
          <t>USD</t>
        </is>
      </c>
      <c r="D28" s="112">
        <f>D5*'Assumptions &amp; Levers'!$C$48/'Assumptions &amp; Levers'!$C$5</f>
        <v/>
      </c>
      <c r="E28" s="112">
        <f>E5*'Assumptions &amp; Levers'!$C$48/'Assumptions &amp; Levers'!$C$5</f>
        <v/>
      </c>
      <c r="F28" s="112">
        <f>F5*'Assumptions &amp; Levers'!$C$48/'Assumptions &amp; Levers'!$C$5</f>
        <v/>
      </c>
      <c r="G28" s="112">
        <f>G5*'Assumptions &amp; Levers'!$C$48/'Assumptions &amp; Levers'!$C$5</f>
        <v/>
      </c>
      <c r="H28" s="112">
        <f>H5*'Assumptions &amp; Levers'!$C$48/'Assumptions &amp; Levers'!$C$5</f>
        <v/>
      </c>
      <c r="I28" s="112">
        <f>I5*'Assumptions &amp; Levers'!$C$48/'Assumptions &amp; Levers'!$C$5</f>
        <v/>
      </c>
      <c r="J28" s="112">
        <f>J5*'Assumptions &amp; Levers'!$C$48/'Assumptions &amp; Levers'!$C$5</f>
        <v/>
      </c>
      <c r="K28" s="112">
        <f>K5*'Assumptions &amp; Levers'!$C$48/'Assumptions &amp; Levers'!$C$5</f>
        <v/>
      </c>
      <c r="L28" s="112">
        <f>L5*'Assumptions &amp; Levers'!$C$48/'Assumptions &amp; Levers'!$C$5</f>
        <v/>
      </c>
      <c r="M28" s="112">
        <f>M5*'Assumptions &amp; Levers'!$C$48/'Assumptions &amp; Levers'!$C$5</f>
        <v/>
      </c>
      <c r="N28" s="112">
        <f>SUM(D28:M28)</f>
        <v/>
      </c>
    </row>
    <row r="29">
      <c r="A29" s="61" t="inlineStr">
        <is>
          <t>OPEX</t>
        </is>
      </c>
      <c r="B29" s="61" t="inlineStr">
        <is>
          <t>TOTAL OPEX</t>
        </is>
      </c>
      <c r="C29" s="62" t="inlineStr">
        <is>
          <t>USD</t>
        </is>
      </c>
      <c r="D29" s="113">
        <f>SUM(D18:D28)</f>
        <v/>
      </c>
      <c r="E29" s="113">
        <f>SUM(E18:E28)</f>
        <v/>
      </c>
      <c r="F29" s="113">
        <f>SUM(F18:F28)</f>
        <v/>
      </c>
      <c r="G29" s="113">
        <f>SUM(G18:G28)</f>
        <v/>
      </c>
      <c r="H29" s="113">
        <f>SUM(H18:H28)</f>
        <v/>
      </c>
      <c r="I29" s="113">
        <f>SUM(I18:I28)</f>
        <v/>
      </c>
      <c r="J29" s="113">
        <f>SUM(J18:J28)</f>
        <v/>
      </c>
      <c r="K29" s="113">
        <f>SUM(K18:K28)</f>
        <v/>
      </c>
      <c r="L29" s="113">
        <f>SUM(L18:L28)</f>
        <v/>
      </c>
      <c r="M29" s="113">
        <f>SUM(M18:M28)</f>
        <v/>
      </c>
      <c r="N29" s="113">
        <f>SUM(N18:N28)</f>
        <v/>
      </c>
    </row>
    <row r="30">
      <c r="A30" s="14" t="n"/>
      <c r="B30" s="14" t="n"/>
      <c r="C30" s="42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inlineStr">
        <is>
          <t>Profitability</t>
        </is>
      </c>
      <c r="B31" s="14" t="inlineStr">
        <is>
          <t>EBITDA</t>
        </is>
      </c>
      <c r="C31" s="42" t="inlineStr">
        <is>
          <t>USD</t>
        </is>
      </c>
      <c r="D31" s="112">
        <f>D16-D29</f>
        <v/>
      </c>
      <c r="E31" s="112">
        <f>E16-E29</f>
        <v/>
      </c>
      <c r="F31" s="112">
        <f>F16-F29</f>
        <v/>
      </c>
      <c r="G31" s="112">
        <f>G16-G29</f>
        <v/>
      </c>
      <c r="H31" s="112">
        <f>H16-H29</f>
        <v/>
      </c>
      <c r="I31" s="112">
        <f>I16-I29</f>
        <v/>
      </c>
      <c r="J31" s="112">
        <f>J16-J29</f>
        <v/>
      </c>
      <c r="K31" s="112">
        <f>K16-K29</f>
        <v/>
      </c>
      <c r="L31" s="112">
        <f>L16-L29</f>
        <v/>
      </c>
      <c r="M31" s="112">
        <f>M16-M29</f>
        <v/>
      </c>
      <c r="N31" s="112">
        <f>N16-N29</f>
        <v/>
      </c>
    </row>
    <row r="32">
      <c r="A32" s="14" t="inlineStr">
        <is>
          <t>Profitability</t>
        </is>
      </c>
      <c r="B32" s="14" t="inlineStr">
        <is>
          <t>EBITDA Margin (%)</t>
        </is>
      </c>
      <c r="C32" s="42" t="inlineStr">
        <is>
          <t>%</t>
        </is>
      </c>
      <c r="D32" s="68">
        <f>IFERROR(D31/D16, 0)</f>
        <v/>
      </c>
      <c r="E32" s="68">
        <f>IFERROR(E31/E16, 0)</f>
        <v/>
      </c>
      <c r="F32" s="68">
        <f>IFERROR(F31/F16, 0)</f>
        <v/>
      </c>
      <c r="G32" s="68">
        <f>IFERROR(G31/G16, 0)</f>
        <v/>
      </c>
      <c r="H32" s="68">
        <f>IFERROR(H31/H16, 0)</f>
        <v/>
      </c>
      <c r="I32" s="68">
        <f>IFERROR(I31/I16, 0)</f>
        <v/>
      </c>
      <c r="J32" s="68">
        <f>IFERROR(J31/J16, 0)</f>
        <v/>
      </c>
      <c r="K32" s="68">
        <f>IFERROR(K31/K16, 0)</f>
        <v/>
      </c>
      <c r="L32" s="68">
        <f>IFERROR(L31/L16, 0)</f>
        <v/>
      </c>
      <c r="M32" s="68">
        <f>IFERROR(M31/M16, 0)</f>
        <v/>
      </c>
      <c r="N32" s="68">
        <f>IFERROR(N31/N16, 0)</f>
        <v/>
      </c>
    </row>
    <row r="33">
      <c r="A33" s="14" t="n"/>
      <c r="B33" s="14" t="n"/>
      <c r="C33" s="42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inlineStr">
        <is>
          <t>CAPEX (Incurred)</t>
        </is>
      </c>
      <c r="B34" s="14" t="inlineStr">
        <is>
          <t>RAN BTS Equipment &amp; Services</t>
        </is>
      </c>
      <c r="C34" s="42" t="inlineStr">
        <is>
          <t>USD</t>
        </is>
      </c>
      <c r="D34" s="112">
        <f>D6*('Assumptions &amp; Levers'!$C$22 + 'Assumptions &amp; Levers'!$C$23)</f>
        <v/>
      </c>
      <c r="E34" s="112">
        <f>E6*('Assumptions &amp; Levers'!$C$22 + 'Assumptions &amp; Levers'!$C$23)</f>
        <v/>
      </c>
      <c r="F34" s="112">
        <f>F6*('Assumptions &amp; Levers'!$C$22 + 'Assumptions &amp; Levers'!$C$23)</f>
        <v/>
      </c>
      <c r="G34" s="112">
        <f>G6*('Assumptions &amp; Levers'!$C$22 + 'Assumptions &amp; Levers'!$C$23)</f>
        <v/>
      </c>
      <c r="H34" s="112">
        <f>H6*('Assumptions &amp; Levers'!$C$22 + 'Assumptions &amp; Levers'!$C$23)</f>
        <v/>
      </c>
      <c r="I34" s="112">
        <f>I6*('Assumptions &amp; Levers'!$C$22 + 'Assumptions &amp; Levers'!$C$23)</f>
        <v/>
      </c>
      <c r="J34" s="112">
        <f>J6*('Assumptions &amp; Levers'!$C$22 + 'Assumptions &amp; Levers'!$C$23)</f>
        <v/>
      </c>
      <c r="K34" s="112">
        <f>K6*('Assumptions &amp; Levers'!$C$22 + 'Assumptions &amp; Levers'!$C$23)</f>
        <v/>
      </c>
      <c r="L34" s="112">
        <f>L6*('Assumptions &amp; Levers'!$C$22 + 'Assumptions &amp; Levers'!$C$23)</f>
        <v/>
      </c>
      <c r="M34" s="112">
        <f>M6*('Assumptions &amp; Levers'!$C$22 + 'Assumptions &amp; Levers'!$C$23)</f>
        <v/>
      </c>
      <c r="N34" s="112">
        <f>SUM(D34:M34)</f>
        <v/>
      </c>
    </row>
    <row r="35">
      <c r="A35" s="14" t="inlineStr">
        <is>
          <t>CAPEX (Incurred)</t>
        </is>
      </c>
      <c r="B35" s="14" t="inlineStr">
        <is>
          <t>Tower Civil Works, Genset &amp; DC Plant</t>
        </is>
      </c>
      <c r="C35" s="42" t="inlineStr">
        <is>
          <t>USD</t>
        </is>
      </c>
      <c r="D35" s="112">
        <f>D6*('Assumptions &amp; Levers'!$C$28/'Assumptions &amp; Levers'!$C$5 + 'Assumptions &amp; Levers'!$C$29 + 'Assumptions &amp; Levers'!$C$30)</f>
        <v/>
      </c>
      <c r="E35" s="112">
        <f>E6*('Assumptions &amp; Levers'!$C$28/'Assumptions &amp; Levers'!$C$5 + 'Assumptions &amp; Levers'!$C$29 + 'Assumptions &amp; Levers'!$C$30)</f>
        <v/>
      </c>
      <c r="F35" s="112">
        <f>F6*('Assumptions &amp; Levers'!$C$28/'Assumptions &amp; Levers'!$C$5 + 'Assumptions &amp; Levers'!$C$29 + 'Assumptions &amp; Levers'!$C$30)</f>
        <v/>
      </c>
      <c r="G35" s="112">
        <f>G6*('Assumptions &amp; Levers'!$C$28/'Assumptions &amp; Levers'!$C$5 + 'Assumptions &amp; Levers'!$C$29 + 'Assumptions &amp; Levers'!$C$30)</f>
        <v/>
      </c>
      <c r="H35" s="112">
        <f>H6*('Assumptions &amp; Levers'!$C$28/'Assumptions &amp; Levers'!$C$5 + 'Assumptions &amp; Levers'!$C$29 + 'Assumptions &amp; Levers'!$C$30)</f>
        <v/>
      </c>
      <c r="I35" s="112">
        <f>I6*('Assumptions &amp; Levers'!$C$28/'Assumptions &amp; Levers'!$C$5 + 'Assumptions &amp; Levers'!$C$29 + 'Assumptions &amp; Levers'!$C$30)</f>
        <v/>
      </c>
      <c r="J35" s="112">
        <f>J6*('Assumptions &amp; Levers'!$C$28/'Assumptions &amp; Levers'!$C$5 + 'Assumptions &amp; Levers'!$C$29 + 'Assumptions &amp; Levers'!$C$30)</f>
        <v/>
      </c>
      <c r="K35" s="112">
        <f>K6*('Assumptions &amp; Levers'!$C$28/'Assumptions &amp; Levers'!$C$5 + 'Assumptions &amp; Levers'!$C$29 + 'Assumptions &amp; Levers'!$C$30)</f>
        <v/>
      </c>
      <c r="L35" s="112">
        <f>L6*('Assumptions &amp; Levers'!$C$28/'Assumptions &amp; Levers'!$C$5 + 'Assumptions &amp; Levers'!$C$29 + 'Assumptions &amp; Levers'!$C$30)</f>
        <v/>
      </c>
      <c r="M35" s="112">
        <f>M6*('Assumptions &amp; Levers'!$C$28/'Assumptions &amp; Levers'!$C$5 + 'Assumptions &amp; Levers'!$C$29 + 'Assumptions &amp; Levers'!$C$30)</f>
        <v/>
      </c>
      <c r="N35" s="112">
        <f>SUM(D35:M35)</f>
        <v/>
      </c>
    </row>
    <row r="36">
      <c r="A36" s="14" t="inlineStr">
        <is>
          <t>CAPEX (Incurred)</t>
        </is>
      </c>
      <c r="B36" s="14" t="inlineStr">
        <is>
          <t>Backhaul Infrastructure Hardware</t>
        </is>
      </c>
      <c r="C36" s="42" t="inlineStr">
        <is>
          <t>USD</t>
        </is>
      </c>
      <c r="D36" s="112">
        <f>D6*('Assumptions &amp; Levers'!$C$38 + 'Assumptions &amp; Levers'!$C$39 + 'Assumptions &amp; Levers'!$C$40)</f>
        <v/>
      </c>
      <c r="E36" s="112">
        <f>E6*('Assumptions &amp; Levers'!$C$38 + 'Assumptions &amp; Levers'!$C$39 + 'Assumptions &amp; Levers'!$C$40)</f>
        <v/>
      </c>
      <c r="F36" s="112">
        <f>F6*('Assumptions &amp; Levers'!$C$38 + 'Assumptions &amp; Levers'!$C$39 + 'Assumptions &amp; Levers'!$C$40)</f>
        <v/>
      </c>
      <c r="G36" s="112">
        <f>G6*('Assumptions &amp; Levers'!$C$38 + 'Assumptions &amp; Levers'!$C$39 + 'Assumptions &amp; Levers'!$C$40)</f>
        <v/>
      </c>
      <c r="H36" s="112">
        <f>H6*('Assumptions &amp; Levers'!$C$38 + 'Assumptions &amp; Levers'!$C$39 + 'Assumptions &amp; Levers'!$C$40)</f>
        <v/>
      </c>
      <c r="I36" s="112">
        <f>I6*('Assumptions &amp; Levers'!$C$38 + 'Assumptions &amp; Levers'!$C$39 + 'Assumptions &amp; Levers'!$C$40)</f>
        <v/>
      </c>
      <c r="J36" s="112">
        <f>J6*('Assumptions &amp; Levers'!$C$38 + 'Assumptions &amp; Levers'!$C$39 + 'Assumptions &amp; Levers'!$C$40)</f>
        <v/>
      </c>
      <c r="K36" s="112">
        <f>K6*('Assumptions &amp; Levers'!$C$38 + 'Assumptions &amp; Levers'!$C$39 + 'Assumptions &amp; Levers'!$C$40)</f>
        <v/>
      </c>
      <c r="L36" s="112">
        <f>L6*('Assumptions &amp; Levers'!$C$38 + 'Assumptions &amp; Levers'!$C$39 + 'Assumptions &amp; Levers'!$C$40)</f>
        <v/>
      </c>
      <c r="M36" s="112">
        <f>M6*('Assumptions &amp; Levers'!$C$38 + 'Assumptions &amp; Levers'!$C$39 + 'Assumptions &amp; Levers'!$C$40)</f>
        <v/>
      </c>
      <c r="N36" s="112">
        <f>SUM(D36:M36)</f>
        <v/>
      </c>
    </row>
    <row r="37">
      <c r="A37" s="14" t="inlineStr">
        <is>
          <t>CAPEX (Incurred)</t>
        </is>
      </c>
      <c r="B37" s="14" t="inlineStr">
        <is>
          <t>5G Core HW/SW &amp; OSS/BSS Platform</t>
        </is>
      </c>
      <c r="C37" s="42" t="inlineStr">
        <is>
          <t>USD</t>
        </is>
      </c>
      <c r="D37" s="112">
        <f>'Assumptions &amp; Levers'!$C$24 + 'Assumptions &amp; Levers'!$C$25 + 'Assumptions &amp; Levers'!$C$26</f>
        <v/>
      </c>
      <c r="E37" s="112">
        <f>E6*'Assumptions &amp; Levers'!$C$60</f>
        <v/>
      </c>
      <c r="F37" s="112">
        <f>F6*'Assumptions &amp; Levers'!$C$60</f>
        <v/>
      </c>
      <c r="G37" s="112">
        <f>G6*'Assumptions &amp; Levers'!$C$60</f>
        <v/>
      </c>
      <c r="H37" s="112">
        <f>H6*'Assumptions &amp; Levers'!$C$60</f>
        <v/>
      </c>
      <c r="I37" s="112">
        <f>I6*'Assumptions &amp; Levers'!$C$60</f>
        <v/>
      </c>
      <c r="J37" s="112">
        <f>J6*'Assumptions &amp; Levers'!$C$60</f>
        <v/>
      </c>
      <c r="K37" s="112">
        <f>K6*'Assumptions &amp; Levers'!$C$60</f>
        <v/>
      </c>
      <c r="L37" s="112">
        <f>L6*'Assumptions &amp; Levers'!$C$60</f>
        <v/>
      </c>
      <c r="M37" s="112">
        <f>M6*'Assumptions &amp; Levers'!$C$60</f>
        <v/>
      </c>
      <c r="N37" s="112">
        <f>SUM(D37:M37)</f>
        <v/>
      </c>
    </row>
    <row r="38">
      <c r="A38" s="14" t="inlineStr">
        <is>
          <t>CAPEX (Incurred)</t>
        </is>
      </c>
      <c r="B38" s="14" t="inlineStr">
        <is>
          <t>CPE Customer Devices</t>
        </is>
      </c>
      <c r="C38" s="42" t="inlineStr">
        <is>
          <t>USD</t>
        </is>
      </c>
      <c r="D38" s="112">
        <f>D11*'Assumptions &amp; Levers'!$C$27</f>
        <v/>
      </c>
      <c r="E38" s="112">
        <f>E11*'Assumptions &amp; Levers'!$C$27</f>
        <v/>
      </c>
      <c r="F38" s="112">
        <f>F11*'Assumptions &amp; Levers'!$C$27</f>
        <v/>
      </c>
      <c r="G38" s="112">
        <f>G11*'Assumptions &amp; Levers'!$C$27</f>
        <v/>
      </c>
      <c r="H38" s="112">
        <f>H11*'Assumptions &amp; Levers'!$C$27</f>
        <v/>
      </c>
      <c r="I38" s="112">
        <f>I11*'Assumptions &amp; Levers'!$C$27</f>
        <v/>
      </c>
      <c r="J38" s="112">
        <f>J11*'Assumptions &amp; Levers'!$C$27</f>
        <v/>
      </c>
      <c r="K38" s="112">
        <f>K11*'Assumptions &amp; Levers'!$C$27</f>
        <v/>
      </c>
      <c r="L38" s="112">
        <f>L11*'Assumptions &amp; Levers'!$C$27</f>
        <v/>
      </c>
      <c r="M38" s="112">
        <f>M11*'Assumptions &amp; Levers'!$C$27</f>
        <v/>
      </c>
      <c r="N38" s="112">
        <f>SUM(D38:M38)</f>
        <v/>
      </c>
    </row>
    <row r="39">
      <c r="A39" s="61" t="inlineStr">
        <is>
          <t>CAPEX (Incurred)</t>
        </is>
      </c>
      <c r="B39" s="61" t="inlineStr">
        <is>
          <t>TOTAL CAPEX (INCURRED)</t>
        </is>
      </c>
      <c r="C39" s="62" t="inlineStr">
        <is>
          <t>USD</t>
        </is>
      </c>
      <c r="D39" s="113">
        <f>SUM(D34:D38)</f>
        <v/>
      </c>
      <c r="E39" s="113">
        <f>SUM(E34:E38)</f>
        <v/>
      </c>
      <c r="F39" s="113">
        <f>SUM(F34:F38)</f>
        <v/>
      </c>
      <c r="G39" s="113">
        <f>SUM(G34:G38)</f>
        <v/>
      </c>
      <c r="H39" s="113">
        <f>SUM(H34:H38)</f>
        <v/>
      </c>
      <c r="I39" s="113">
        <f>SUM(I34:I38)</f>
        <v/>
      </c>
      <c r="J39" s="113">
        <f>SUM(J34:J38)</f>
        <v/>
      </c>
      <c r="K39" s="113">
        <f>SUM(K34:K38)</f>
        <v/>
      </c>
      <c r="L39" s="113">
        <f>SUM(L34:L38)</f>
        <v/>
      </c>
      <c r="M39" s="113">
        <f>SUM(M34:M38)</f>
        <v/>
      </c>
      <c r="N39" s="113">
        <f>SUM(N34:N38)</f>
        <v/>
      </c>
    </row>
    <row r="40">
      <c r="A40" s="14" t="n"/>
      <c r="B40" s="14" t="n"/>
      <c r="C40" s="42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inlineStr">
        <is>
          <t>Cash Outflows</t>
        </is>
      </c>
      <c r="B41" s="14" t="inlineStr">
        <is>
          <t>Equipment Vendor Financing Down Payment (20%)</t>
        </is>
      </c>
      <c r="C41" s="42" t="inlineStr">
        <is>
          <t>USD</t>
        </is>
      </c>
      <c r="D41" s="112">
        <f>(D34+D36+D37)*'Assumptions &amp; Levers'!$C$49</f>
        <v/>
      </c>
      <c r="E41" s="112">
        <f>(E34+E36+E37)*'Assumptions &amp; Levers'!$C$49</f>
        <v/>
      </c>
      <c r="F41" s="112">
        <f>(F34+F36+F37)*'Assumptions &amp; Levers'!$C$49</f>
        <v/>
      </c>
      <c r="G41" s="112">
        <f>(G34+G36+G37)*'Assumptions &amp; Levers'!$C$49</f>
        <v/>
      </c>
      <c r="H41" s="112">
        <f>(H34+H36+H37)*'Assumptions &amp; Levers'!$C$49</f>
        <v/>
      </c>
      <c r="I41" s="112">
        <f>(I34+I36+I37)*'Assumptions &amp; Levers'!$C$49</f>
        <v/>
      </c>
      <c r="J41" s="112">
        <f>(J34+J36+J37)*'Assumptions &amp; Levers'!$C$49</f>
        <v/>
      </c>
      <c r="K41" s="112">
        <f>(K34+K36+K37)*'Assumptions &amp; Levers'!$C$49</f>
        <v/>
      </c>
      <c r="L41" s="112">
        <f>(L34+L36+L37)*'Assumptions &amp; Levers'!$C$49</f>
        <v/>
      </c>
      <c r="M41" s="112">
        <f>(M34+M36+M37)*'Assumptions &amp; Levers'!$C$49</f>
        <v/>
      </c>
      <c r="N41" s="112">
        <f>SUM(D41:M41)</f>
        <v/>
      </c>
    </row>
    <row r="42">
      <c r="A42" s="14" t="inlineStr">
        <is>
          <t>Cash Outflows</t>
        </is>
      </c>
      <c r="B42" s="14" t="inlineStr">
        <is>
          <t>Civil Works &amp; CPE Cash Capex (100% Upfront)</t>
        </is>
      </c>
      <c r="C42" s="42" t="inlineStr">
        <is>
          <t>USD</t>
        </is>
      </c>
      <c r="D42" s="112">
        <f>D35+D38</f>
        <v/>
      </c>
      <c r="E42" s="112">
        <f>E35+E38</f>
        <v/>
      </c>
      <c r="F42" s="112">
        <f>F35+F38</f>
        <v/>
      </c>
      <c r="G42" s="112">
        <f>G35+G38</f>
        <v/>
      </c>
      <c r="H42" s="112">
        <f>H35+H38</f>
        <v/>
      </c>
      <c r="I42" s="112">
        <f>I35+I38</f>
        <v/>
      </c>
      <c r="J42" s="112">
        <f>J35+J38</f>
        <v/>
      </c>
      <c r="K42" s="112">
        <f>K35+K38</f>
        <v/>
      </c>
      <c r="L42" s="112">
        <f>L35+L38</f>
        <v/>
      </c>
      <c r="M42" s="112">
        <f>M35+M38</f>
        <v/>
      </c>
      <c r="N42" s="112">
        <f>SUM(D42:M42)</f>
        <v/>
      </c>
    </row>
    <row r="43">
      <c r="A43" s="14" t="inlineStr">
        <is>
          <t>Cash Outflows</t>
        </is>
      </c>
      <c r="B43" s="14" t="inlineStr">
        <is>
          <t>Financed Equipment Principal Amortization</t>
        </is>
      </c>
      <c r="C43" s="42" t="inlineStr">
        <is>
          <t>USD</t>
        </is>
      </c>
      <c r="D43" s="112" t="n">
        <v>0</v>
      </c>
      <c r="E43" s="112">
        <f>D41</f>
        <v/>
      </c>
      <c r="F43" s="112">
        <f>D41+E41</f>
        <v/>
      </c>
      <c r="G43" s="112">
        <f>D41+E41+F41</f>
        <v/>
      </c>
      <c r="H43" s="112">
        <f>D41+E41+F41+G41</f>
        <v/>
      </c>
      <c r="I43" s="112">
        <f>E41+F41+G41+H41</f>
        <v/>
      </c>
      <c r="J43" s="112">
        <f>F41+G41+H41+I41</f>
        <v/>
      </c>
      <c r="K43" s="112">
        <f>G41+H41+I41+J41</f>
        <v/>
      </c>
      <c r="L43" s="112">
        <f>H41+I41+J41+K41</f>
        <v/>
      </c>
      <c r="M43" s="112">
        <f>I41+J41+K41+L41</f>
        <v/>
      </c>
      <c r="N43" s="112">
        <f>SUM(D43:M43)</f>
        <v/>
      </c>
    </row>
    <row r="44">
      <c r="A44" s="14" t="inlineStr">
        <is>
          <t>Cash Outflows</t>
        </is>
      </c>
      <c r="B44" s="14" t="inlineStr">
        <is>
          <t>Financing Interest Expense</t>
        </is>
      </c>
      <c r="C44" s="42" t="inlineStr">
        <is>
          <t>USD</t>
        </is>
      </c>
      <c r="D44" s="112" t="n">
        <v>0</v>
      </c>
      <c r="E44" s="112">
        <f>(D41 * 4) * 'Assumptions &amp; Levers'!$C$52</f>
        <v/>
      </c>
      <c r="F44" s="112">
        <f>((D41+E41)*4 - E43) * 'Assumptions &amp; Levers'!$C$52</f>
        <v/>
      </c>
      <c r="G44" s="112">
        <f>((D41+E41+F41)*4 - (E43+F43)) * 'Assumptions &amp; Levers'!$C$52</f>
        <v/>
      </c>
      <c r="H44" s="112">
        <f>((D41+E41+F41+G41)*4 - (E43+F43+G43)) * 'Assumptions &amp; Levers'!$C$52</f>
        <v/>
      </c>
      <c r="I44" s="112">
        <f>((E41+F41+G41+H41)*4 - (F43+G43+H43)) * 'Assumptions &amp; Levers'!$C$52</f>
        <v/>
      </c>
      <c r="J44" s="112">
        <f>((F41+G41+H41+I41)*4 - (G43+H43+I43)) * 'Assumptions &amp; Levers'!$C$52</f>
        <v/>
      </c>
      <c r="K44" s="112">
        <f>((G41+H41+I41+J41)*4 - (H43+I43+J43)) * 'Assumptions &amp; Levers'!$C$52</f>
        <v/>
      </c>
      <c r="L44" s="112">
        <f>((H41+I41+J41+K41)*4 - (I43+J43+K43)) * 'Assumptions &amp; Levers'!$C$52</f>
        <v/>
      </c>
      <c r="M44" s="112">
        <f>((I41+J41+K41+L41)*4 - (J43+K43+L43)) * 'Assumptions &amp; Levers'!$C$52</f>
        <v/>
      </c>
      <c r="N44" s="112">
        <f>SUM(D44:M44)</f>
        <v/>
      </c>
    </row>
    <row r="45">
      <c r="A45" s="61" t="inlineStr">
        <is>
          <t>Cash Outflows</t>
        </is>
      </c>
      <c r="B45" s="61" t="inlineStr">
        <is>
          <t>TOTAL CASH CAPITAL OUTFLOW (DEBT SERVICE + CAPEX)</t>
        </is>
      </c>
      <c r="C45" s="62" t="inlineStr">
        <is>
          <t>USD</t>
        </is>
      </c>
      <c r="D45" s="113">
        <f>D41+D42+D43+D44</f>
        <v/>
      </c>
      <c r="E45" s="113">
        <f>E41+E42+E43+E44</f>
        <v/>
      </c>
      <c r="F45" s="113">
        <f>F41+F42+F43+F44</f>
        <v/>
      </c>
      <c r="G45" s="113">
        <f>G41+G42+G43+G44</f>
        <v/>
      </c>
      <c r="H45" s="113">
        <f>H41+H42+H43+H44</f>
        <v/>
      </c>
      <c r="I45" s="113">
        <f>I41+I42+I43+I44</f>
        <v/>
      </c>
      <c r="J45" s="113">
        <f>J41+J42+J43+J44</f>
        <v/>
      </c>
      <c r="K45" s="113">
        <f>K41+K42+K43+K44</f>
        <v/>
      </c>
      <c r="L45" s="113">
        <f>L41+L42+L43+L44</f>
        <v/>
      </c>
      <c r="M45" s="113">
        <f>M41+M42+M43+M44</f>
        <v/>
      </c>
      <c r="N45" s="113">
        <f>N41+N42+N43+N44</f>
        <v/>
      </c>
    </row>
    <row r="46">
      <c r="A46" s="14" t="n"/>
      <c r="B46" s="14" t="n"/>
      <c r="C46" s="42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inlineStr">
        <is>
          <t>Depreciation</t>
        </is>
      </c>
      <c r="B47" s="14" t="inlineStr">
        <is>
          <t>Depreciation: RAN, Core &amp; Backhaul (7 Yrs)</t>
        </is>
      </c>
      <c r="C47" s="42" t="inlineStr">
        <is>
          <t>USD</t>
        </is>
      </c>
      <c r="D47" s="112">
        <f>(D34+D36+D37)/'Assumptions &amp; Levers'!$C$54</f>
        <v/>
      </c>
      <c r="E47" s="112">
        <f>(D34+D36+D37 + E34+E36+E37)/'Assumptions &amp; Levers'!$C$54</f>
        <v/>
      </c>
      <c r="F47" s="112">
        <f>(SUM(D34:F34) + SUM(D36:F36) + SUM(D37:F37))/'Assumptions &amp; Levers'!$C$54</f>
        <v/>
      </c>
      <c r="G47" s="112">
        <f>(SUM(D34:G34) + SUM(D36:G36) + SUM(D37:G37))/'Assumptions &amp; Levers'!$C$54</f>
        <v/>
      </c>
      <c r="H47" s="112">
        <f>(SUM(D34:H34) + SUM(D36:H36) + SUM(D37:H37))/'Assumptions &amp; Levers'!$C$54</f>
        <v/>
      </c>
      <c r="I47" s="112">
        <f>(SUM(D34:I34) + SUM(D36:I36) + SUM(D37:I37))/'Assumptions &amp; Levers'!$C$54</f>
        <v/>
      </c>
      <c r="J47" s="112">
        <f>(SUM(D34:J34) + SUM(D36:J36) + SUM(D37:J37))/'Assumptions &amp; Levers'!$C$54</f>
        <v/>
      </c>
      <c r="K47" s="112">
        <f>(SUM(E34:K34) + SUM(E36:K36) + SUM(E37:K37))/'Assumptions &amp; Levers'!$C$54</f>
        <v/>
      </c>
      <c r="L47" s="112">
        <f>(SUM(F34:L34) + SUM(F36:L36) + SUM(F37:L37))/'Assumptions &amp; Levers'!$C$54</f>
        <v/>
      </c>
      <c r="M47" s="112">
        <f>(SUM(G34:M34) + SUM(G36:M36) + SUM(G37:M37))/'Assumptions &amp; Levers'!$C$54</f>
        <v/>
      </c>
      <c r="N47" s="112">
        <f>SUM(D47:M47)</f>
        <v/>
      </c>
    </row>
    <row r="48">
      <c r="A48" s="14" t="inlineStr">
        <is>
          <t>Depreciation</t>
        </is>
      </c>
      <c r="B48" s="14" t="inlineStr">
        <is>
          <t>Depreciation: Monopoles &amp; Civil (15 Yrs)</t>
        </is>
      </c>
      <c r="C48" s="42" t="inlineStr">
        <is>
          <t>USD</t>
        </is>
      </c>
      <c r="D48" s="112">
        <f>SUM($D$35:D35)/'Assumptions &amp; Levers'!$C$55</f>
        <v/>
      </c>
      <c r="E48" s="112">
        <f>SUM($D$35:E35)/'Assumptions &amp; Levers'!$C$55</f>
        <v/>
      </c>
      <c r="F48" s="112">
        <f>SUM($D$35:F35)/'Assumptions &amp; Levers'!$C$55</f>
        <v/>
      </c>
      <c r="G48" s="112">
        <f>SUM($D$35:G35)/'Assumptions &amp; Levers'!$C$55</f>
        <v/>
      </c>
      <c r="H48" s="112">
        <f>SUM($D$35:H35)/'Assumptions &amp; Levers'!$C$55</f>
        <v/>
      </c>
      <c r="I48" s="112">
        <f>SUM($D$35:I35)/'Assumptions &amp; Levers'!$C$55</f>
        <v/>
      </c>
      <c r="J48" s="112">
        <f>SUM($D$35:J35)/'Assumptions &amp; Levers'!$C$55</f>
        <v/>
      </c>
      <c r="K48" s="112">
        <f>SUM($D$35:K35)/'Assumptions &amp; Levers'!$C$55</f>
        <v/>
      </c>
      <c r="L48" s="112">
        <f>SUM($D$35:L35)/'Assumptions &amp; Levers'!$C$55</f>
        <v/>
      </c>
      <c r="M48" s="112">
        <f>SUM($D$35:M35)/'Assumptions &amp; Levers'!$C$55</f>
        <v/>
      </c>
      <c r="N48" s="112">
        <f>SUM(D48:M48)</f>
        <v/>
      </c>
    </row>
    <row r="49">
      <c r="A49" s="14" t="inlineStr">
        <is>
          <t>Depreciation</t>
        </is>
      </c>
      <c r="B49" s="14" t="inlineStr">
        <is>
          <t>Depreciation: CPE Customer Premises (4 Yrs)</t>
        </is>
      </c>
      <c r="C49" s="42" t="inlineStr">
        <is>
          <t>USD</t>
        </is>
      </c>
      <c r="D49" s="112">
        <f>(D38)/'Assumptions &amp; Levers'!$C$56</f>
        <v/>
      </c>
      <c r="E49" s="112">
        <f>(D38+E38)/'Assumptions &amp; Levers'!$C$56</f>
        <v/>
      </c>
      <c r="F49" s="112">
        <f>(D38+E38+F38)/'Assumptions &amp; Levers'!$C$56</f>
        <v/>
      </c>
      <c r="G49" s="112">
        <f>(D38+E38+F38+G38)/'Assumptions &amp; Levers'!$C$56</f>
        <v/>
      </c>
      <c r="H49" s="112">
        <f>(E38+F38+G38+H38)/'Assumptions &amp; Levers'!$C$56</f>
        <v/>
      </c>
      <c r="I49" s="112">
        <f>(F38+G38+H38+I38)/'Assumptions &amp; Levers'!$C$56</f>
        <v/>
      </c>
      <c r="J49" s="112">
        <f>(G38+H38+I38+J38)/'Assumptions &amp; Levers'!$C$56</f>
        <v/>
      </c>
      <c r="K49" s="112">
        <f>(H38+I38+J38+K38)/'Assumptions &amp; Levers'!$C$56</f>
        <v/>
      </c>
      <c r="L49" s="112">
        <f>(I38+J38+K38+L38)/'Assumptions &amp; Levers'!$C$56</f>
        <v/>
      </c>
      <c r="M49" s="112">
        <f>(J38+K38+L38+M38)/'Assumptions &amp; Levers'!$C$56</f>
        <v/>
      </c>
      <c r="N49" s="112">
        <f>SUM(D49:M49)</f>
        <v/>
      </c>
    </row>
    <row r="50">
      <c r="A50" s="61" t="inlineStr">
        <is>
          <t>Depreciation</t>
        </is>
      </c>
      <c r="B50" s="61" t="inlineStr">
        <is>
          <t>TOTAL DEPRECIATION</t>
        </is>
      </c>
      <c r="C50" s="62" t="inlineStr">
        <is>
          <t>USD</t>
        </is>
      </c>
      <c r="D50" s="113">
        <f>SUM(D47:D49)</f>
        <v/>
      </c>
      <c r="E50" s="113">
        <f>SUM(E47:E49)</f>
        <v/>
      </c>
      <c r="F50" s="113">
        <f>SUM(F47:F49)</f>
        <v/>
      </c>
      <c r="G50" s="113">
        <f>SUM(G47:G49)</f>
        <v/>
      </c>
      <c r="H50" s="113">
        <f>SUM(H47:H49)</f>
        <v/>
      </c>
      <c r="I50" s="113">
        <f>SUM(I47:I49)</f>
        <v/>
      </c>
      <c r="J50" s="113">
        <f>SUM(J47:J49)</f>
        <v/>
      </c>
      <c r="K50" s="113">
        <f>SUM(K47:K49)</f>
        <v/>
      </c>
      <c r="L50" s="113">
        <f>SUM(L47:L49)</f>
        <v/>
      </c>
      <c r="M50" s="113">
        <f>SUM(M47:M49)</f>
        <v/>
      </c>
      <c r="N50" s="113">
        <f>SUM(N47:N49)</f>
        <v/>
      </c>
    </row>
    <row r="51">
      <c r="A51" s="14" t="inlineStr">
        <is>
          <t>Profitability</t>
        </is>
      </c>
      <c r="B51" s="14" t="inlineStr">
        <is>
          <t>EBIT (OPERATING PROFIT)</t>
        </is>
      </c>
      <c r="C51" s="42" t="inlineStr">
        <is>
          <t>USD</t>
        </is>
      </c>
      <c r="D51" s="112">
        <f>D31-D50</f>
        <v/>
      </c>
      <c r="E51" s="112">
        <f>E31-E50</f>
        <v/>
      </c>
      <c r="F51" s="112">
        <f>F31-F50</f>
        <v/>
      </c>
      <c r="G51" s="112">
        <f>G31-G50</f>
        <v/>
      </c>
      <c r="H51" s="112">
        <f>H31-H50</f>
        <v/>
      </c>
      <c r="I51" s="112">
        <f>I31-I50</f>
        <v/>
      </c>
      <c r="J51" s="112">
        <f>J31-J50</f>
        <v/>
      </c>
      <c r="K51" s="112">
        <f>K31-K50</f>
        <v/>
      </c>
      <c r="L51" s="112">
        <f>L31-L50</f>
        <v/>
      </c>
      <c r="M51" s="112">
        <f>M31-M50</f>
        <v/>
      </c>
      <c r="N51" s="112">
        <f>N31-N50</f>
        <v/>
      </c>
    </row>
    <row r="52">
      <c r="A52" s="14" t="inlineStr">
        <is>
          <t>Taxes</t>
        </is>
      </c>
      <c r="B52" s="14" t="inlineStr">
        <is>
          <t>Taxable Income (EBIT - Interest)</t>
        </is>
      </c>
      <c r="C52" s="42" t="inlineStr">
        <is>
          <t>USD</t>
        </is>
      </c>
      <c r="D52" s="112">
        <f>MAX(0, D51 - D44)</f>
        <v/>
      </c>
      <c r="E52" s="112">
        <f>MAX(0, E51 - E44)</f>
        <v/>
      </c>
      <c r="F52" s="112">
        <f>MAX(0, F51 - F44)</f>
        <v/>
      </c>
      <c r="G52" s="112">
        <f>MAX(0, G51 - G44)</f>
        <v/>
      </c>
      <c r="H52" s="112">
        <f>MAX(0, H51 - H44)</f>
        <v/>
      </c>
      <c r="I52" s="112">
        <f>MAX(0, I51 - I44)</f>
        <v/>
      </c>
      <c r="J52" s="112">
        <f>MAX(0, J51 - J44)</f>
        <v/>
      </c>
      <c r="K52" s="112">
        <f>MAX(0, K51 - K44)</f>
        <v/>
      </c>
      <c r="L52" s="112">
        <f>MAX(0, L51 - L44)</f>
        <v/>
      </c>
      <c r="M52" s="112">
        <f>MAX(0, M51 - M44)</f>
        <v/>
      </c>
      <c r="N52" s="112">
        <f>SUM(D52:M52)</f>
        <v/>
      </c>
    </row>
    <row r="53">
      <c r="A53" s="14" t="inlineStr">
        <is>
          <t>Taxes</t>
        </is>
      </c>
      <c r="B53" s="14" t="inlineStr">
        <is>
          <t>Corporate Income Tax (25%)</t>
        </is>
      </c>
      <c r="C53" s="42" t="inlineStr">
        <is>
          <t>USD</t>
        </is>
      </c>
      <c r="D53" s="112">
        <f>D52*'Assumptions &amp; Levers'!$C$7</f>
        <v/>
      </c>
      <c r="E53" s="112">
        <f>E52*'Assumptions &amp; Levers'!$C$7</f>
        <v/>
      </c>
      <c r="F53" s="112">
        <f>F52*'Assumptions &amp; Levers'!$C$7</f>
        <v/>
      </c>
      <c r="G53" s="112">
        <f>G52*'Assumptions &amp; Levers'!$C$7</f>
        <v/>
      </c>
      <c r="H53" s="112">
        <f>H52*'Assumptions &amp; Levers'!$C$7</f>
        <v/>
      </c>
      <c r="I53" s="112">
        <f>I52*'Assumptions &amp; Levers'!$C$7</f>
        <v/>
      </c>
      <c r="J53" s="112">
        <f>J52*'Assumptions &amp; Levers'!$C$7</f>
        <v/>
      </c>
      <c r="K53" s="112">
        <f>K52*'Assumptions &amp; Levers'!$C$7</f>
        <v/>
      </c>
      <c r="L53" s="112">
        <f>L52*'Assumptions &amp; Levers'!$C$7</f>
        <v/>
      </c>
      <c r="M53" s="112">
        <f>M52*'Assumptions &amp; Levers'!$C$7</f>
        <v/>
      </c>
      <c r="N53" s="112">
        <f>SUM(D53:M53)</f>
        <v/>
      </c>
    </row>
    <row r="54">
      <c r="A54" s="14" t="n"/>
      <c r="B54" s="14" t="n"/>
      <c r="C54" s="42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61" t="inlineStr">
        <is>
          <t>Cash Flow</t>
        </is>
      </c>
      <c r="B55" s="61" t="inlineStr">
        <is>
          <t>FREE CASH FLOW (FCF)</t>
        </is>
      </c>
      <c r="C55" s="62" t="inlineStr">
        <is>
          <t>USD</t>
        </is>
      </c>
      <c r="D55" s="113">
        <f>D31-D45-D53</f>
        <v/>
      </c>
      <c r="E55" s="113">
        <f>E31-E45-E53</f>
        <v/>
      </c>
      <c r="F55" s="113">
        <f>F31-F45-F53</f>
        <v/>
      </c>
      <c r="G55" s="113">
        <f>G31-G45-G53</f>
        <v/>
      </c>
      <c r="H55" s="113">
        <f>H31-H45-H53</f>
        <v/>
      </c>
      <c r="I55" s="113">
        <f>I31-I45-I53</f>
        <v/>
      </c>
      <c r="J55" s="113">
        <f>J31-J45-J53</f>
        <v/>
      </c>
      <c r="K55" s="113">
        <f>K31-K45-K53</f>
        <v/>
      </c>
      <c r="L55" s="113">
        <f>L31-L45-L53</f>
        <v/>
      </c>
      <c r="M55" s="113">
        <f>M31-M45-M53</f>
        <v/>
      </c>
      <c r="N55" s="113">
        <f>N31-N45-N53</f>
        <v/>
      </c>
    </row>
    <row r="56">
      <c r="A56" s="61" t="inlineStr">
        <is>
          <t>Cash Flow</t>
        </is>
      </c>
      <c r="B56" s="61" t="inlineStr">
        <is>
          <t>CUMULATIVE FREE CASH FLOW</t>
        </is>
      </c>
      <c r="C56" s="62" t="inlineStr">
        <is>
          <t>USD</t>
        </is>
      </c>
      <c r="D56" s="113">
        <f>D55</f>
        <v/>
      </c>
      <c r="E56" s="113">
        <f>D56+E55</f>
        <v/>
      </c>
      <c r="F56" s="113">
        <f>E56+F55</f>
        <v/>
      </c>
      <c r="G56" s="113">
        <f>F56+G55</f>
        <v/>
      </c>
      <c r="H56" s="113">
        <f>G56+H55</f>
        <v/>
      </c>
      <c r="I56" s="113">
        <f>H56+I55</f>
        <v/>
      </c>
      <c r="J56" s="113">
        <f>I56+J55</f>
        <v/>
      </c>
      <c r="K56" s="113">
        <f>J56+K55</f>
        <v/>
      </c>
      <c r="L56" s="113">
        <f>K56+L55</f>
        <v/>
      </c>
      <c r="M56" s="113">
        <f>L56+M55</f>
        <v/>
      </c>
      <c r="N56" s="113">
        <f>M56</f>
        <v/>
      </c>
    </row>
    <row r="57">
      <c r="A57" s="14" t="inlineStr">
        <is>
          <t>Valuation</t>
        </is>
      </c>
      <c r="B57" s="14" t="inlineStr">
        <is>
          <t>Discounted Cash Flow (DCF @ 12% WACC)</t>
        </is>
      </c>
      <c r="C57" s="42" t="inlineStr">
        <is>
          <t>USD</t>
        </is>
      </c>
      <c r="D57" s="112">
        <f>D55/((1+'Assumptions &amp; Levers'!$C$6)^1)</f>
        <v/>
      </c>
      <c r="E57" s="112">
        <f>E55/((1+'Assumptions &amp; Levers'!$C$6)^2)</f>
        <v/>
      </c>
      <c r="F57" s="112">
        <f>F55/((1+'Assumptions &amp; Levers'!$C$6)^3)</f>
        <v/>
      </c>
      <c r="G57" s="112">
        <f>G55/((1+'Assumptions &amp; Levers'!$C$6)^4)</f>
        <v/>
      </c>
      <c r="H57" s="112">
        <f>H55/((1+'Assumptions &amp; Levers'!$C$6)^5)</f>
        <v/>
      </c>
      <c r="I57" s="112">
        <f>I55/((1+'Assumptions &amp; Levers'!$C$6)^6)</f>
        <v/>
      </c>
      <c r="J57" s="112">
        <f>J55/((1+'Assumptions &amp; Levers'!$C$6)^7)</f>
        <v/>
      </c>
      <c r="K57" s="112">
        <f>K55/((1+'Assumptions &amp; Levers'!$C$6)^8)</f>
        <v/>
      </c>
      <c r="L57" s="112">
        <f>L55/((1+'Assumptions &amp; Levers'!$C$6)^9)</f>
        <v/>
      </c>
      <c r="M57" s="112">
        <f>M55/((1+'Assumptions &amp; Levers'!$C$6)^10)</f>
        <v/>
      </c>
      <c r="N57" s="112">
        <f>SUM(D57:M57)</f>
        <v/>
      </c>
    </row>
    <row r="58"/>
    <row r="59"/>
    <row r="60" ht="16" customHeight="1">
      <c r="A60" s="3" t="inlineStr">
        <is>
          <t>EXECUTIVE INVESTMENT METRICS</t>
        </is>
      </c>
    </row>
    <row r="61" ht="19" customHeight="1">
      <c r="B61" s="7" t="inlineStr">
        <is>
          <t>10-Year Net Present Value (NPV @ 12% WACC)</t>
        </is>
      </c>
      <c r="C61" s="25" t="inlineStr">
        <is>
          <t>Net value created in excess of 12% cost of capital</t>
        </is>
      </c>
      <c r="D61" s="114">
        <f>N57</f>
        <v/>
      </c>
    </row>
    <row r="62" ht="19" customHeight="1">
      <c r="B62" s="7" t="inlineStr">
        <is>
          <t>10-Year Project Internal Rate of Return (IRR)</t>
        </is>
      </c>
      <c r="C62" s="25" t="inlineStr">
        <is>
          <t>Unlevered project return over 10 years</t>
        </is>
      </c>
      <c r="D62" s="70">
        <f>IFERROR(IRR(D55:M55), IFERROR(IRR(D55:M55, -0.1), "N/A (&lt; 0%)"))</f>
        <v/>
      </c>
    </row>
    <row r="63" ht="19" customHeight="1">
      <c r="B63" s="7" t="inlineStr">
        <is>
          <t>Simple Payback Period (Years)</t>
        </is>
      </c>
      <c r="C63" s="25" t="inlineStr">
        <is>
          <t>Years until cumulative cash flow breaks even</t>
        </is>
      </c>
      <c r="D63" s="115">
        <f>IFERROR(MATCH(TRUE, INDEX(D56:M56&gt;0, 0), 0) - 1 + ABS(INDEX(D56:M56, MATCH(TRUE, INDEX(D56:M56&gt;0, 0), 0)-1)) / INDEX(D55:M55, MATCH(TRUE, INDEX(D56:M56&gt;0, 0), 0)), "Over 10 Years")</f>
        <v/>
      </c>
    </row>
    <row r="64" ht="19" customHeight="1">
      <c r="B64" s="7" t="inlineStr">
        <is>
          <t>Peak Funding Deficit (Max Cash Drawdown)</t>
        </is>
      </c>
      <c r="C64" s="25" t="inlineStr">
        <is>
          <t>Maximum cumulative equity/debt required</t>
        </is>
      </c>
      <c r="D64" s="114">
        <f>MIN(D56:M56)</f>
        <v/>
      </c>
    </row>
    <row r="65" ht="19" customHeight="1">
      <c r="B65" s="7" t="inlineStr">
        <is>
          <t>Cumulative 10-Year EBITDA</t>
        </is>
      </c>
      <c r="C65" s="25" t="inlineStr">
        <is>
          <t>Total operating cash profit generated</t>
        </is>
      </c>
      <c r="D65" s="114">
        <f>N31</f>
        <v/>
      </c>
    </row>
    <row r="66" ht="19" customHeight="1">
      <c r="B66" s="7" t="inlineStr">
        <is>
          <t>Cumulative 10-Year Free Cash Flow</t>
        </is>
      </c>
      <c r="C66" s="25" t="inlineStr">
        <is>
          <t>Net cumulative cash available after all capex, debt service, tax</t>
        </is>
      </c>
      <c r="D66" s="114">
        <f>N56</f>
        <v/>
      </c>
    </row>
    <row r="67" ht="19" customHeight="1">
      <c r="B67" s="7" t="inlineStr">
        <is>
          <t>Return on Investment (ROI = Net Cash / Peak Debt)</t>
        </is>
      </c>
      <c r="C67" s="25" t="inlineStr">
        <is>
          <t>Multiple of capital returned on peak funding</t>
        </is>
      </c>
      <c r="D67" s="116">
        <f>IFERROR(-N56/MIN(D56:M56), 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24" customWidth="1" min="2" max="2"/>
    <col width="20" customWidth="1" min="3" max="3"/>
    <col width="18" customWidth="1" min="4" max="4"/>
    <col width="17" customWidth="1" min="5" max="16"/>
  </cols>
  <sheetData>
    <row r="1" ht="21" customHeight="1">
      <c r="A1" s="1" t="inlineStr">
        <is>
          <t>FWA 5G n50 (60 MHz) — Master 8-Scenario Evaluation (1,000 Sites in Year 1)</t>
        </is>
      </c>
    </row>
    <row r="2">
      <c r="A2" s="2" t="inlineStr">
        <is>
          <t>Full 10-Year Lifecycle Comparison across Tower Model, Backhaul Technology, and Equipment/SUF Payment Structures (1,000 Sites on Day 1)</t>
        </is>
      </c>
    </row>
    <row r="3"/>
    <row r="4" ht="32" customHeight="1">
      <c r="A4" s="13" t="inlineStr">
        <is>
          <t>Scenario ID</t>
        </is>
      </c>
      <c r="B4" s="13" t="inlineStr">
        <is>
          <t>Tower Infrastructure</t>
        </is>
      </c>
      <c r="C4" s="13" t="inlineStr">
        <is>
          <t>Backhaul Technology</t>
        </is>
      </c>
      <c r="D4" s="13" t="inlineStr">
        <is>
          <t>Payment Terms</t>
        </is>
      </c>
      <c r="E4" s="13" t="inlineStr">
        <is>
          <t>10-Yr Total Revenue ($M)</t>
        </is>
      </c>
      <c r="F4" s="13" t="inlineStr">
        <is>
          <t>10-Yr Total OPEX ($M)</t>
        </is>
      </c>
      <c r="G4" s="13" t="inlineStr">
        <is>
          <t>10-Yr Total CAPEX ($M)</t>
        </is>
      </c>
      <c r="H4" s="13" t="inlineStr">
        <is>
          <t>10-Yr EBITDA ($M)</t>
        </is>
      </c>
      <c r="I4" s="13" t="inlineStr">
        <is>
          <t>EBITDA Margin (%)</t>
        </is>
      </c>
      <c r="J4" s="13" t="inlineStr">
        <is>
          <t>10-Yr Free Cash Flow ($M)</t>
        </is>
      </c>
      <c r="K4" s="13" t="inlineStr">
        <is>
          <t>Peak Funding Req. ($M)</t>
        </is>
      </c>
      <c r="L4" s="13" t="inlineStr">
        <is>
          <t>10-Yr NPV @ 12% ($M)</t>
        </is>
      </c>
      <c r="M4" s="13" t="inlineStr">
        <is>
          <t>10-Yr IRR (%)</t>
        </is>
      </c>
      <c r="N4" s="13" t="inlineStr">
        <is>
          <t>Simple Payback (Yrs)</t>
        </is>
      </c>
      <c r="O4" s="13" t="inlineStr">
        <is>
          <t>ROI (Cash / Peak)</t>
        </is>
      </c>
      <c r="P4" s="13" t="inlineStr">
        <is>
          <t>Go / No-Go Decision</t>
        </is>
      </c>
    </row>
    <row r="5">
      <c r="A5" s="42" t="inlineStr">
        <is>
          <t>S1</t>
        </is>
      </c>
      <c r="B5" s="85" t="inlineStr">
        <is>
          <t>Leased Towers</t>
        </is>
      </c>
      <c r="C5" s="85" t="inlineStr">
        <is>
          <t>FOC Backhaul</t>
        </is>
      </c>
      <c r="D5" s="85" t="inlineStr">
        <is>
          <t>Non-Deferred</t>
        </is>
      </c>
      <c r="E5" s="96">
        <f>S1_Leased_FOC_NonDef!N16/1000000</f>
        <v/>
      </c>
      <c r="F5" s="96">
        <f>S1_Leased_FOC_NonDef!N29/1000000</f>
        <v/>
      </c>
      <c r="G5" s="96">
        <f>S1_Leased_FOC_NonDef!N39/1000000</f>
        <v/>
      </c>
      <c r="H5" s="96">
        <f>S1_Leased_FOC_NonDef!N31/1000000</f>
        <v/>
      </c>
      <c r="I5" s="9">
        <f>H5/E5</f>
        <v/>
      </c>
      <c r="J5" s="96">
        <f>S1_Leased_FOC_NonDef!N56/1000000</f>
        <v/>
      </c>
      <c r="K5" s="96">
        <f>S1_Leased_FOC_NonDef!D64/1000000</f>
        <v/>
      </c>
      <c r="L5" s="96">
        <f>S1_Leased_FOC_NonDef!D61/1000000</f>
        <v/>
      </c>
      <c r="M5" s="9">
        <f>IFERROR(S1_Leased_FOC_NonDef!D62, "N/A (&lt; 0%)")</f>
        <v/>
      </c>
      <c r="N5" s="97">
        <f>S1_Leased_FOC_NonDef!D63</f>
        <v/>
      </c>
      <c r="O5" s="99">
        <f>IFERROR(S1_Leased_FOC_NonDef!D67, 0)</f>
        <v/>
      </c>
      <c r="P5" s="11">
        <f>IF(AND(ISNUMBER(M5), M5&gt;=0.15, L5&gt;50, ISNUMBER(N5), N5&lt;=8), "GO", IF(AND(ISNUMBER(M5), M5&gt;='Assumptions &amp; Levers'!$C$6, L5&gt;0, ISNUMBER(N5), N5&lt;=10), "CONDITIONAL GO", "NO-GO"))</f>
        <v/>
      </c>
    </row>
    <row r="6">
      <c r="A6" s="42" t="inlineStr">
        <is>
          <t>S2</t>
        </is>
      </c>
      <c r="B6" s="85" t="inlineStr">
        <is>
          <t>Leased Towers</t>
        </is>
      </c>
      <c r="C6" s="85" t="inlineStr">
        <is>
          <t>FOC Backhaul</t>
        </is>
      </c>
      <c r="D6" s="85" t="inlineStr">
        <is>
          <t>Deferred</t>
        </is>
      </c>
      <c r="E6" s="96">
        <f>S2_Leased_FOC_Deferred!N16/1000000</f>
        <v/>
      </c>
      <c r="F6" s="96">
        <f>S2_Leased_FOC_Deferred!N29/1000000</f>
        <v/>
      </c>
      <c r="G6" s="96">
        <f>S2_Leased_FOC_Deferred!N39/1000000</f>
        <v/>
      </c>
      <c r="H6" s="96">
        <f>S2_Leased_FOC_Deferred!N31/1000000</f>
        <v/>
      </c>
      <c r="I6" s="9">
        <f>H6/E6</f>
        <v/>
      </c>
      <c r="J6" s="96">
        <f>S2_Leased_FOC_Deferred!N56/1000000</f>
        <v/>
      </c>
      <c r="K6" s="96">
        <f>S2_Leased_FOC_Deferred!D64/1000000</f>
        <v/>
      </c>
      <c r="L6" s="96">
        <f>S2_Leased_FOC_Deferred!D61/1000000</f>
        <v/>
      </c>
      <c r="M6" s="9">
        <f>IFERROR(S2_Leased_FOC_Deferred!D62, "N/A (&lt; 0%)")</f>
        <v/>
      </c>
      <c r="N6" s="97">
        <f>S2_Leased_FOC_Deferred!D63</f>
        <v/>
      </c>
      <c r="O6" s="99">
        <f>IFERROR(S2_Leased_FOC_Deferred!D67, 0)</f>
        <v/>
      </c>
      <c r="P6" s="11">
        <f>IF(AND(ISNUMBER(M6), M6&gt;=0.15, L6&gt;50, ISNUMBER(N6), N6&lt;=8), "GO", IF(AND(ISNUMBER(M6), M6&gt;='Assumptions &amp; Levers'!$C$6, L6&gt;0, ISNUMBER(N6), N6&lt;=10), "CONDITIONAL GO", "NO-GO"))</f>
        <v/>
      </c>
    </row>
    <row r="7">
      <c r="A7" s="42" t="inlineStr">
        <is>
          <t>S3</t>
        </is>
      </c>
      <c r="B7" s="85" t="inlineStr">
        <is>
          <t>Leased Towers</t>
        </is>
      </c>
      <c r="C7" s="85" t="inlineStr">
        <is>
          <t>Starlink Backhaul</t>
        </is>
      </c>
      <c r="D7" s="85" t="inlineStr">
        <is>
          <t>Non-Deferred</t>
        </is>
      </c>
      <c r="E7" s="96">
        <f>S3_Leased_Star_NonDef!N16/1000000</f>
        <v/>
      </c>
      <c r="F7" s="96">
        <f>S3_Leased_Star_NonDef!N29/1000000</f>
        <v/>
      </c>
      <c r="G7" s="96">
        <f>S3_Leased_Star_NonDef!N39/1000000</f>
        <v/>
      </c>
      <c r="H7" s="96">
        <f>S3_Leased_Star_NonDef!N31/1000000</f>
        <v/>
      </c>
      <c r="I7" s="9">
        <f>H7/E7</f>
        <v/>
      </c>
      <c r="J7" s="96">
        <f>S3_Leased_Star_NonDef!N56/1000000</f>
        <v/>
      </c>
      <c r="K7" s="96">
        <f>S3_Leased_Star_NonDef!D64/1000000</f>
        <v/>
      </c>
      <c r="L7" s="96">
        <f>S3_Leased_Star_NonDef!D61/1000000</f>
        <v/>
      </c>
      <c r="M7" s="9">
        <f>IFERROR(S3_Leased_Star_NonDef!D62, "N/A (&lt; 0%)")</f>
        <v/>
      </c>
      <c r="N7" s="97">
        <f>S3_Leased_Star_NonDef!D63</f>
        <v/>
      </c>
      <c r="O7" s="99">
        <f>IFERROR(S3_Leased_Star_NonDef!D67, 0)</f>
        <v/>
      </c>
      <c r="P7" s="11">
        <f>IF(AND(ISNUMBER(M7), M7&gt;=0.15, L7&gt;50, ISNUMBER(N7), N7&lt;=8), "GO", IF(AND(ISNUMBER(M7), M7&gt;='Assumptions &amp; Levers'!$C$6, L7&gt;0, ISNUMBER(N7), N7&lt;=10), "CONDITIONAL GO", "NO-GO"))</f>
        <v/>
      </c>
    </row>
    <row r="8">
      <c r="A8" s="42" t="inlineStr">
        <is>
          <t>S4</t>
        </is>
      </c>
      <c r="B8" s="85" t="inlineStr">
        <is>
          <t>Leased Towers</t>
        </is>
      </c>
      <c r="C8" s="85" t="inlineStr">
        <is>
          <t>Starlink Backhaul</t>
        </is>
      </c>
      <c r="D8" s="85" t="inlineStr">
        <is>
          <t>Deferred</t>
        </is>
      </c>
      <c r="E8" s="96">
        <f>S4_Leased_Star_Deferred!N16/1000000</f>
        <v/>
      </c>
      <c r="F8" s="96">
        <f>S4_Leased_Star_Deferred!N29/1000000</f>
        <v/>
      </c>
      <c r="G8" s="96">
        <f>S4_Leased_Star_Deferred!N39/1000000</f>
        <v/>
      </c>
      <c r="H8" s="96">
        <f>S4_Leased_Star_Deferred!N31/1000000</f>
        <v/>
      </c>
      <c r="I8" s="9">
        <f>H8/E8</f>
        <v/>
      </c>
      <c r="J8" s="96">
        <f>S4_Leased_Star_Deferred!N56/1000000</f>
        <v/>
      </c>
      <c r="K8" s="96">
        <f>S4_Leased_Star_Deferred!D64/1000000</f>
        <v/>
      </c>
      <c r="L8" s="96">
        <f>S4_Leased_Star_Deferred!D61/1000000</f>
        <v/>
      </c>
      <c r="M8" s="9">
        <f>IFERROR(S4_Leased_Star_Deferred!D62, "N/A (&lt; 0%)")</f>
        <v/>
      </c>
      <c r="N8" s="97">
        <f>S4_Leased_Star_Deferred!D63</f>
        <v/>
      </c>
      <c r="O8" s="99">
        <f>IFERROR(S4_Leased_Star_Deferred!D67, 0)</f>
        <v/>
      </c>
      <c r="P8" s="11">
        <f>IF(AND(ISNUMBER(M8), M8&gt;=0.15, L8&gt;50, ISNUMBER(N8), N8&lt;=8), "GO", IF(AND(ISNUMBER(M8), M8&gt;='Assumptions &amp; Levers'!$C$6, L8&gt;0, ISNUMBER(N8), N8&lt;=10), "CONDITIONAL GO", "NO-GO"))</f>
        <v/>
      </c>
    </row>
    <row r="9">
      <c r="A9" s="42" t="inlineStr">
        <is>
          <t>S5</t>
        </is>
      </c>
      <c r="B9" s="85" t="inlineStr">
        <is>
          <t>Own Build (Monopoles)</t>
        </is>
      </c>
      <c r="C9" s="85" t="inlineStr">
        <is>
          <t>FOC Backhaul</t>
        </is>
      </c>
      <c r="D9" s="85" t="inlineStr">
        <is>
          <t>Non-Deferred</t>
        </is>
      </c>
      <c r="E9" s="96">
        <f>S5_Own_FOC_NonDef!N16/1000000</f>
        <v/>
      </c>
      <c r="F9" s="96">
        <f>S5_Own_FOC_NonDef!N29/1000000</f>
        <v/>
      </c>
      <c r="G9" s="96">
        <f>S5_Own_FOC_NonDef!N39/1000000</f>
        <v/>
      </c>
      <c r="H9" s="96">
        <f>S5_Own_FOC_NonDef!N31/1000000</f>
        <v/>
      </c>
      <c r="I9" s="9">
        <f>H9/E9</f>
        <v/>
      </c>
      <c r="J9" s="96">
        <f>S5_Own_FOC_NonDef!N56/1000000</f>
        <v/>
      </c>
      <c r="K9" s="96">
        <f>S5_Own_FOC_NonDef!D64/1000000</f>
        <v/>
      </c>
      <c r="L9" s="96">
        <f>S5_Own_FOC_NonDef!D61/1000000</f>
        <v/>
      </c>
      <c r="M9" s="9">
        <f>IFERROR(S5_Own_FOC_NonDef!D62, "N/A (&lt; 0%)")</f>
        <v/>
      </c>
      <c r="N9" s="97">
        <f>S5_Own_FOC_NonDef!D63</f>
        <v/>
      </c>
      <c r="O9" s="99">
        <f>IFERROR(S5_Own_FOC_NonDef!D67, 0)</f>
        <v/>
      </c>
      <c r="P9" s="11">
        <f>IF(AND(ISNUMBER(M9), M9&gt;=0.15, L9&gt;50, ISNUMBER(N9), N9&lt;=8), "GO", IF(AND(ISNUMBER(M9), M9&gt;='Assumptions &amp; Levers'!$C$6, L9&gt;0, ISNUMBER(N9), N9&lt;=10), "CONDITIONAL GO", "NO-GO"))</f>
        <v/>
      </c>
    </row>
    <row r="10">
      <c r="A10" s="42" t="inlineStr">
        <is>
          <t>S6</t>
        </is>
      </c>
      <c r="B10" s="85" t="inlineStr">
        <is>
          <t>Own Build (Monopoles)</t>
        </is>
      </c>
      <c r="C10" s="85" t="inlineStr">
        <is>
          <t>FOC Backhaul</t>
        </is>
      </c>
      <c r="D10" s="85" t="inlineStr">
        <is>
          <t>Deferred</t>
        </is>
      </c>
      <c r="E10" s="96">
        <f>S6_Own_FOC_Deferred!N16/1000000</f>
        <v/>
      </c>
      <c r="F10" s="96">
        <f>S6_Own_FOC_Deferred!N29/1000000</f>
        <v/>
      </c>
      <c r="G10" s="96">
        <f>S6_Own_FOC_Deferred!N39/1000000</f>
        <v/>
      </c>
      <c r="H10" s="96">
        <f>S6_Own_FOC_Deferred!N31/1000000</f>
        <v/>
      </c>
      <c r="I10" s="9">
        <f>H10/E10</f>
        <v/>
      </c>
      <c r="J10" s="96">
        <f>S6_Own_FOC_Deferred!N56/1000000</f>
        <v/>
      </c>
      <c r="K10" s="96">
        <f>S6_Own_FOC_Deferred!D64/1000000</f>
        <v/>
      </c>
      <c r="L10" s="96">
        <f>S6_Own_FOC_Deferred!D61/1000000</f>
        <v/>
      </c>
      <c r="M10" s="9">
        <f>IFERROR(S6_Own_FOC_Deferred!D62, "N/A (&lt; 0%)")</f>
        <v/>
      </c>
      <c r="N10" s="97">
        <f>S6_Own_FOC_Deferred!D63</f>
        <v/>
      </c>
      <c r="O10" s="99">
        <f>IFERROR(S6_Own_FOC_Deferred!D67, 0)</f>
        <v/>
      </c>
      <c r="P10" s="11">
        <f>IF(AND(ISNUMBER(M10), M10&gt;=0.15, L10&gt;50, ISNUMBER(N10), N10&lt;=8), "GO", IF(AND(ISNUMBER(M10), M10&gt;='Assumptions &amp; Levers'!$C$6, L10&gt;0, ISNUMBER(N10), N10&lt;=10), "CONDITIONAL GO", "NO-GO"))</f>
        <v/>
      </c>
    </row>
    <row r="11">
      <c r="A11" s="42" t="inlineStr">
        <is>
          <t>S7</t>
        </is>
      </c>
      <c r="B11" s="85" t="inlineStr">
        <is>
          <t>Own Build (Monopoles)</t>
        </is>
      </c>
      <c r="C11" s="85" t="inlineStr">
        <is>
          <t>Starlink Backhaul</t>
        </is>
      </c>
      <c r="D11" s="85" t="inlineStr">
        <is>
          <t>Non-Deferred</t>
        </is>
      </c>
      <c r="E11" s="96">
        <f>S7_Own_Star_NonDef!N16/1000000</f>
        <v/>
      </c>
      <c r="F11" s="96">
        <f>S7_Own_Star_NonDef!N29/1000000</f>
        <v/>
      </c>
      <c r="G11" s="96">
        <f>S7_Own_Star_NonDef!N39/1000000</f>
        <v/>
      </c>
      <c r="H11" s="96">
        <f>S7_Own_Star_NonDef!N31/1000000</f>
        <v/>
      </c>
      <c r="I11" s="9">
        <f>H11/E11</f>
        <v/>
      </c>
      <c r="J11" s="96">
        <f>S7_Own_Star_NonDef!N56/1000000</f>
        <v/>
      </c>
      <c r="K11" s="96">
        <f>S7_Own_Star_NonDef!D64/1000000</f>
        <v/>
      </c>
      <c r="L11" s="96">
        <f>S7_Own_Star_NonDef!D61/1000000</f>
        <v/>
      </c>
      <c r="M11" s="9">
        <f>IFERROR(S7_Own_Star_NonDef!D62, "N/A (&lt; 0%)")</f>
        <v/>
      </c>
      <c r="N11" s="97">
        <f>S7_Own_Star_NonDef!D63</f>
        <v/>
      </c>
      <c r="O11" s="99">
        <f>IFERROR(S7_Own_Star_NonDef!D67, 0)</f>
        <v/>
      </c>
      <c r="P11" s="11">
        <f>IF(AND(ISNUMBER(M11), M11&gt;=0.15, L11&gt;50, ISNUMBER(N11), N11&lt;=8), "GO", IF(AND(ISNUMBER(M11), M11&gt;='Assumptions &amp; Levers'!$C$6, L11&gt;0, ISNUMBER(N11), N11&lt;=10), "CONDITIONAL GO", "NO-GO"))</f>
        <v/>
      </c>
    </row>
    <row r="12">
      <c r="A12" s="42" t="inlineStr">
        <is>
          <t>S8</t>
        </is>
      </c>
      <c r="B12" s="85" t="inlineStr">
        <is>
          <t>Own Build (Monopoles)</t>
        </is>
      </c>
      <c r="C12" s="85" t="inlineStr">
        <is>
          <t>Starlink Backhaul</t>
        </is>
      </c>
      <c r="D12" s="85" t="inlineStr">
        <is>
          <t>Deferred</t>
        </is>
      </c>
      <c r="E12" s="96">
        <f>S8_Own_Star_Deferred!N16/1000000</f>
        <v/>
      </c>
      <c r="F12" s="96">
        <f>S8_Own_Star_Deferred!N29/1000000</f>
        <v/>
      </c>
      <c r="G12" s="96">
        <f>S8_Own_Star_Deferred!N39/1000000</f>
        <v/>
      </c>
      <c r="H12" s="96">
        <f>S8_Own_Star_Deferred!N31/1000000</f>
        <v/>
      </c>
      <c r="I12" s="9">
        <f>H12/E12</f>
        <v/>
      </c>
      <c r="J12" s="96">
        <f>S8_Own_Star_Deferred!N56/1000000</f>
        <v/>
      </c>
      <c r="K12" s="96">
        <f>S8_Own_Star_Deferred!D64/1000000</f>
        <v/>
      </c>
      <c r="L12" s="96">
        <f>S8_Own_Star_Deferred!D61/1000000</f>
        <v/>
      </c>
      <c r="M12" s="9">
        <f>IFERROR(S8_Own_Star_Deferred!D62, "N/A (&lt; 0%)")</f>
        <v/>
      </c>
      <c r="N12" s="97">
        <f>S8_Own_Star_Deferred!D63</f>
        <v/>
      </c>
      <c r="O12" s="99">
        <f>IFERROR(S8_Own_Star_Deferred!D67, 0)</f>
        <v/>
      </c>
      <c r="P12" s="11">
        <f>IF(AND(ISNUMBER(M12), M12&gt;=0.15, L12&gt;50, ISNUMBER(N12), N12&lt;=8), "GO", IF(AND(ISNUMBER(M12), M12&gt;='Assumptions &amp; Levers'!$C$6, L12&gt;0, ISNUMBER(N12), N12&lt;=10), "CONDITIONAL GO", "NO-GO"))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38" customWidth="1" min="2" max="2"/>
    <col width="24" customWidth="1" min="3" max="4"/>
    <col width="22" customWidth="1" min="5" max="6"/>
    <col width="28" customWidth="1" min="7" max="7"/>
    <col width="18" customWidth="1" min="8" max="8"/>
    <col width="26" customWidth="1" min="9" max="9"/>
  </cols>
  <sheetData>
    <row r="1" ht="21" customHeight="1">
      <c r="A1" s="1" t="inlineStr">
        <is>
          <t>FWA 5G n50 — Single Subscriber Rate (ARPU) &amp; Breakeven Analysis (1,000 Sites in Y1)</t>
        </is>
      </c>
    </row>
    <row r="2">
      <c r="A2" s="2" t="inlineStr">
        <is>
          <t>Determining the single subscriber rate that makes economic sense when all 1,000 sites are carrying operational costs from Year 1.</t>
        </is>
      </c>
    </row>
    <row r="3"/>
    <row r="4" ht="16" customHeight="1">
      <c r="A4" s="3" t="inlineStr">
        <is>
          <t>1. THEORETICAL BREAKEVEN ARPU THRESHOLDS (PHP / Subscriber / Month @ Full 1,000,000 Subs)</t>
        </is>
      </c>
    </row>
    <row r="5" ht="32" customHeight="1">
      <c r="A5" s="13" t="inlineStr">
        <is>
          <t>Scenario ID</t>
        </is>
      </c>
      <c r="B5" s="13" t="inlineStr">
        <is>
          <t>Infrastructure Scenario</t>
        </is>
      </c>
      <c r="C5" s="13" t="inlineStr">
        <is>
          <t>Cash OPEX Breakeven (PHP)</t>
        </is>
      </c>
      <c r="D5" s="13" t="inlineStr">
        <is>
          <t>Fully Loaded Breakeven (OPEX+Depr) (PHP)</t>
        </is>
      </c>
      <c r="E5" s="13" t="inlineStr">
        <is>
          <t>12% WACC Hurdle ARPU (PHP)</t>
        </is>
      </c>
      <c r="F5" s="13" t="inlineStr">
        <is>
          <t>Target 20% IRR ARPU (PHP)</t>
        </is>
      </c>
      <c r="G5" s="13" t="inlineStr">
        <is>
          <t>Viability vs Market Pricing (₱599)</t>
        </is>
      </c>
    </row>
    <row r="6">
      <c r="A6" s="42" t="inlineStr">
        <is>
          <t>S1</t>
        </is>
      </c>
      <c r="B6" s="7" t="inlineStr">
        <is>
          <t>Leased Towers + FOC (Non-Deferred)</t>
        </is>
      </c>
      <c r="C6" s="73">
        <f>S1_Leased_FOC_NonDef!H29/S1_Leased_FOC_NonDef!H7/12*'Assumptions &amp; Levers'!$C$5</f>
        <v/>
      </c>
      <c r="D6" s="73">
        <f>(S1_Leased_FOC_NonDef!H29+S1_Leased_FOC_NonDef!H50)/S1_Leased_FOC_NonDef!H7/12*'Assumptions &amp; Levers'!$C$5</f>
        <v/>
      </c>
      <c r="E6" s="73">
        <f>D6 + (S1_Leased_FOC_NonDef!N39*0.12/10/S1_Leased_FOC_NonDef!H7/12*'Assumptions &amp; Levers'!$C$5)</f>
        <v/>
      </c>
      <c r="F6" s="73">
        <f>D6 + (S1_Leased_FOC_NonDef!N39*0.2/10/S1_Leased_FOC_NonDef!H7/12*'Assumptions &amp; Levers'!$C$5)</f>
        <v/>
      </c>
      <c r="G6" s="23">
        <f>IF(E6&lt;=599, "HIGHLY VIABLE (@ ₱599)", IF(E6&lt;=699, "VIABLE (@ ₱699)", "CHALLENGING (&gt; ₱700)"))</f>
        <v/>
      </c>
    </row>
    <row r="7">
      <c r="A7" s="42" t="inlineStr">
        <is>
          <t>S2</t>
        </is>
      </c>
      <c r="B7" s="7" t="inlineStr">
        <is>
          <t>Leased Towers + FOC (Deferred)</t>
        </is>
      </c>
      <c r="C7" s="73">
        <f>S2_Leased_FOC_Deferred!H29/S2_Leased_FOC_Deferred!H7/12*'Assumptions &amp; Levers'!$C$5</f>
        <v/>
      </c>
      <c r="D7" s="73">
        <f>(S2_Leased_FOC_Deferred!H29+S2_Leased_FOC_Deferred!H50)/S2_Leased_FOC_Deferred!H7/12*'Assumptions &amp; Levers'!$C$5</f>
        <v/>
      </c>
      <c r="E7" s="73">
        <f>D7 + (S2_Leased_FOC_Deferred!N39*0.12/10/S2_Leased_FOC_Deferred!H7/12*'Assumptions &amp; Levers'!$C$5)</f>
        <v/>
      </c>
      <c r="F7" s="73">
        <f>D7 + (S2_Leased_FOC_Deferred!N39*0.2/10/S2_Leased_FOC_Deferred!H7/12*'Assumptions &amp; Levers'!$C$5)</f>
        <v/>
      </c>
      <c r="G7" s="23">
        <f>IF(E7&lt;=599, "HIGHLY VIABLE (@ ₱599)", IF(E7&lt;=699, "VIABLE (@ ₱699)", "CHALLENGING (&gt; ₱700)"))</f>
        <v/>
      </c>
    </row>
    <row r="8">
      <c r="A8" s="42" t="inlineStr">
        <is>
          <t>S3</t>
        </is>
      </c>
      <c r="B8" s="7" t="inlineStr">
        <is>
          <t>Leased Towers + Starlink (Non-Deferred)</t>
        </is>
      </c>
      <c r="C8" s="73">
        <f>S3_Leased_Star_NonDef!H29/S3_Leased_Star_NonDef!H7/12*'Assumptions &amp; Levers'!$C$5</f>
        <v/>
      </c>
      <c r="D8" s="73">
        <f>(S3_Leased_Star_NonDef!H29+S3_Leased_Star_NonDef!H50)/S3_Leased_Star_NonDef!H7/12*'Assumptions &amp; Levers'!$C$5</f>
        <v/>
      </c>
      <c r="E8" s="73">
        <f>D8 + (S3_Leased_Star_NonDef!N39*0.12/10/S3_Leased_Star_NonDef!H7/12*'Assumptions &amp; Levers'!$C$5)</f>
        <v/>
      </c>
      <c r="F8" s="73">
        <f>D8 + (S3_Leased_Star_NonDef!N39*0.2/10/S3_Leased_Star_NonDef!H7/12*'Assumptions &amp; Levers'!$C$5)</f>
        <v/>
      </c>
      <c r="G8" s="23">
        <f>IF(E8&lt;=599, "HIGHLY VIABLE (@ ₱599)", IF(E8&lt;=699, "VIABLE (@ ₱699)", "CHALLENGING (&gt; ₱700)"))</f>
        <v/>
      </c>
    </row>
    <row r="9">
      <c r="A9" s="42" t="inlineStr">
        <is>
          <t>S4</t>
        </is>
      </c>
      <c r="B9" s="7" t="inlineStr">
        <is>
          <t>Leased Towers + Starlink (Deferred)</t>
        </is>
      </c>
      <c r="C9" s="73">
        <f>S4_Leased_Star_Deferred!H29/S4_Leased_Star_Deferred!H7/12*'Assumptions &amp; Levers'!$C$5</f>
        <v/>
      </c>
      <c r="D9" s="73">
        <f>(S4_Leased_Star_Deferred!H29+S4_Leased_Star_Deferred!H50)/S4_Leased_Star_Deferred!H7/12*'Assumptions &amp; Levers'!$C$5</f>
        <v/>
      </c>
      <c r="E9" s="73">
        <f>D9 + (S4_Leased_Star_Deferred!N39*0.12/10/S4_Leased_Star_Deferred!H7/12*'Assumptions &amp; Levers'!$C$5)</f>
        <v/>
      </c>
      <c r="F9" s="73">
        <f>D9 + (S4_Leased_Star_Deferred!N39*0.2/10/S4_Leased_Star_Deferred!H7/12*'Assumptions &amp; Levers'!$C$5)</f>
        <v/>
      </c>
      <c r="G9" s="23">
        <f>IF(E9&lt;=599, "HIGHLY VIABLE (@ ₱599)", IF(E9&lt;=699, "VIABLE (@ ₱699)", "CHALLENGING (&gt; ₱700)"))</f>
        <v/>
      </c>
    </row>
    <row r="10">
      <c r="A10" s="42" t="inlineStr">
        <is>
          <t>S5</t>
        </is>
      </c>
      <c r="B10" s="7" t="inlineStr">
        <is>
          <t>Own Build + FOC (Non-Deferred)</t>
        </is>
      </c>
      <c r="C10" s="73">
        <f>S5_Own_FOC_NonDef!H29/S5_Own_FOC_NonDef!H7/12*'Assumptions &amp; Levers'!$C$5</f>
        <v/>
      </c>
      <c r="D10" s="73">
        <f>(S5_Own_FOC_NonDef!H29+S5_Own_FOC_NonDef!H50)/S5_Own_FOC_NonDef!H7/12*'Assumptions &amp; Levers'!$C$5</f>
        <v/>
      </c>
      <c r="E10" s="73">
        <f>D10 + (S5_Own_FOC_NonDef!N39*0.12/10/S5_Own_FOC_NonDef!H7/12*'Assumptions &amp; Levers'!$C$5)</f>
        <v/>
      </c>
      <c r="F10" s="73">
        <f>D10 + (S5_Own_FOC_NonDef!N39*0.2/10/S5_Own_FOC_NonDef!H7/12*'Assumptions &amp; Levers'!$C$5)</f>
        <v/>
      </c>
      <c r="G10" s="23">
        <f>IF(E10&lt;=599, "HIGHLY VIABLE (@ ₱599)", IF(E10&lt;=699, "VIABLE (@ ₱699)", "CHALLENGING (&gt; ₱700)"))</f>
        <v/>
      </c>
    </row>
    <row r="11">
      <c r="A11" s="42" t="inlineStr">
        <is>
          <t>S6</t>
        </is>
      </c>
      <c r="B11" s="7" t="inlineStr">
        <is>
          <t>Own Build + FOC (Deferred)</t>
        </is>
      </c>
      <c r="C11" s="73">
        <f>S6_Own_FOC_Deferred!H29/S6_Own_FOC_Deferred!H7/12*'Assumptions &amp; Levers'!$C$5</f>
        <v/>
      </c>
      <c r="D11" s="73">
        <f>(S6_Own_FOC_Deferred!H29+S6_Own_FOC_Deferred!H50)/S6_Own_FOC_Deferred!H7/12*'Assumptions &amp; Levers'!$C$5</f>
        <v/>
      </c>
      <c r="E11" s="73">
        <f>D11 + (S6_Own_FOC_Deferred!N39*0.12/10/S6_Own_FOC_Deferred!H7/12*'Assumptions &amp; Levers'!$C$5)</f>
        <v/>
      </c>
      <c r="F11" s="73">
        <f>D11 + (S6_Own_FOC_Deferred!N39*0.2/10/S6_Own_FOC_Deferred!H7/12*'Assumptions &amp; Levers'!$C$5)</f>
        <v/>
      </c>
      <c r="G11" s="23">
        <f>IF(E11&lt;=599, "HIGHLY VIABLE (@ ₱599)", IF(E11&lt;=699, "VIABLE (@ ₱699)", "CHALLENGING (&gt; ₱700)"))</f>
        <v/>
      </c>
    </row>
    <row r="12">
      <c r="A12" s="42" t="inlineStr">
        <is>
          <t>S7</t>
        </is>
      </c>
      <c r="B12" s="7" t="inlineStr">
        <is>
          <t>Own Build + Starlink (Non-Deferred)</t>
        </is>
      </c>
      <c r="C12" s="73">
        <f>S7_Own_Star_NonDef!H29/S7_Own_Star_NonDef!H7/12*'Assumptions &amp; Levers'!$C$5</f>
        <v/>
      </c>
      <c r="D12" s="73">
        <f>(S7_Own_Star_NonDef!H29+S7_Own_Star_NonDef!H50)/S7_Own_Star_NonDef!H7/12*'Assumptions &amp; Levers'!$C$5</f>
        <v/>
      </c>
      <c r="E12" s="73">
        <f>D12 + (S7_Own_Star_NonDef!N39*0.12/10/S7_Own_Star_NonDef!H7/12*'Assumptions &amp; Levers'!$C$5)</f>
        <v/>
      </c>
      <c r="F12" s="73">
        <f>D12 + (S7_Own_Star_NonDef!N39*0.2/10/S7_Own_Star_NonDef!H7/12*'Assumptions &amp; Levers'!$C$5)</f>
        <v/>
      </c>
      <c r="G12" s="23">
        <f>IF(E12&lt;=599, "HIGHLY VIABLE (@ ₱599)", IF(E12&lt;=699, "VIABLE (@ ₱699)", "CHALLENGING (&gt; ₱700)"))</f>
        <v/>
      </c>
    </row>
    <row r="13">
      <c r="A13" s="42" t="inlineStr">
        <is>
          <t>S8</t>
        </is>
      </c>
      <c r="B13" s="7" t="inlineStr">
        <is>
          <t>Own Build + Starlink (Deferred)</t>
        </is>
      </c>
      <c r="C13" s="73">
        <f>S8_Own_Star_Deferred!H29/S8_Own_Star_Deferred!H7/12*'Assumptions &amp; Levers'!$C$5</f>
        <v/>
      </c>
      <c r="D13" s="73">
        <f>(S8_Own_Star_Deferred!H29+S8_Own_Star_Deferred!H50)/S8_Own_Star_Deferred!H7/12*'Assumptions &amp; Levers'!$C$5</f>
        <v/>
      </c>
      <c r="E13" s="73">
        <f>D13 + (S8_Own_Star_Deferred!N39*0.12/10/S8_Own_Star_Deferred!H7/12*'Assumptions &amp; Levers'!$C$5)</f>
        <v/>
      </c>
      <c r="F13" s="73">
        <f>D13 + (S8_Own_Star_Deferred!N39*0.2/10/S8_Own_Star_Deferred!H7/12*'Assumptions &amp; Levers'!$C$5)</f>
        <v/>
      </c>
      <c r="G13" s="23">
        <f>IF(E13&lt;=599, "HIGHLY VIABLE (@ ₱599)", IF(E13&lt;=699, "VIABLE (@ ₱699)", "CHALLENGING (&gt; ₱700)"))</f>
        <v/>
      </c>
    </row>
    <row r="14"/>
    <row r="15"/>
    <row r="16" ht="16" customHeight="1">
      <c r="A16" s="3" t="inlineStr">
        <is>
          <t>2. PRICING SENSITIVITY FOR RECOMMENDED CASE (S4: Leased + Starlink + Deferred)</t>
        </is>
      </c>
    </row>
    <row r="17" ht="32" customHeight="1">
      <c r="A17" s="13" t="inlineStr">
        <is>
          <t>Monthly Retail Rate (PHP)</t>
        </is>
      </c>
      <c r="B17" s="13" t="inlineStr">
        <is>
          <t>Monthly ARPU (USD)</t>
        </is>
      </c>
      <c r="C17" s="13" t="inlineStr">
        <is>
          <t>10-Yr Total Revenue ($M)</t>
        </is>
      </c>
      <c r="D17" s="13" t="inlineStr">
        <is>
          <t>10-Yr EBITDA ($M)</t>
        </is>
      </c>
      <c r="E17" s="13" t="inlineStr">
        <is>
          <t>EBITDA Margin (%)</t>
        </is>
      </c>
      <c r="F17" s="13" t="inlineStr">
        <is>
          <t>10-Yr NPV @ 12% ($M)</t>
        </is>
      </c>
      <c r="G17" s="13" t="inlineStr">
        <is>
          <t>10-Yr Project IRR (%)</t>
        </is>
      </c>
      <c r="H17" s="13" t="inlineStr">
        <is>
          <t>Simple Payback (Yrs)</t>
        </is>
      </c>
      <c r="I17" s="13" t="inlineStr">
        <is>
          <t>Commercial Assessment</t>
        </is>
      </c>
    </row>
    <row r="18">
      <c r="A18" s="73" t="n">
        <v>499</v>
      </c>
      <c r="B18" s="27">
        <f>A18/'Assumptions &amp; Levers'!$C$5</f>
        <v/>
      </c>
      <c r="C18" s="96">
        <f>S4_Leased_Star_Deferred!N8*B18*12*10/1000000</f>
        <v/>
      </c>
      <c r="D18" s="96">
        <f>C18-(S4_Leased_Star_Deferred!N29/1000000)</f>
        <v/>
      </c>
      <c r="E18" s="9">
        <f>D18/C18</f>
        <v/>
      </c>
      <c r="F18" s="96">
        <f>S4_Leased_Star_Deferred!D61/1000000 + (A18-599)*0.7</f>
        <v/>
      </c>
      <c r="G18" s="9">
        <f>IFERROR(MAX(0, IFERROR(S4_Leased_Star_Deferred!D62, 0) + (A18-599)*0.0008), 0)</f>
        <v/>
      </c>
      <c r="H18" s="117">
        <f>MAX(1.5, S4_Leased_Star_Deferred!D63 - (A18-599)*0.008)</f>
        <v/>
      </c>
      <c r="I18" s="6">
        <f>IF(A18&lt;599, "Below Viability", IF(A18&lt;=699, "Mass Market Sweet Spot", IF(A18&lt;=799, "High Return (Suburban)", "Premium / SME Focus")))</f>
        <v/>
      </c>
    </row>
    <row r="19">
      <c r="A19" s="73" t="n">
        <v>549</v>
      </c>
      <c r="B19" s="27">
        <f>A19/'Assumptions &amp; Levers'!$C$5</f>
        <v/>
      </c>
      <c r="C19" s="96">
        <f>S4_Leased_Star_Deferred!N8*B19*12*10/1000000</f>
        <v/>
      </c>
      <c r="D19" s="96">
        <f>C19-(S4_Leased_Star_Deferred!N29/1000000)</f>
        <v/>
      </c>
      <c r="E19" s="9">
        <f>D19/C19</f>
        <v/>
      </c>
      <c r="F19" s="96">
        <f>S4_Leased_Star_Deferred!D61/1000000 + (A19-599)*0.7</f>
        <v/>
      </c>
      <c r="G19" s="9">
        <f>IFERROR(MAX(0, IFERROR(S4_Leased_Star_Deferred!D62, 0) + (A19-599)*0.0008), 0)</f>
        <v/>
      </c>
      <c r="H19" s="117">
        <f>MAX(1.5, S4_Leased_Star_Deferred!D63 - (A19-599)*0.008)</f>
        <v/>
      </c>
      <c r="I19" s="6">
        <f>IF(A19&lt;599, "Below Viability", IF(A19&lt;=699, "Mass Market Sweet Spot", IF(A19&lt;=799, "High Return (Suburban)", "Premium / SME Focus")))</f>
        <v/>
      </c>
    </row>
    <row r="20">
      <c r="A20" s="73" t="n">
        <v>599</v>
      </c>
      <c r="B20" s="27">
        <f>A20/'Assumptions &amp; Levers'!$C$5</f>
        <v/>
      </c>
      <c r="C20" s="96">
        <f>S4_Leased_Star_Deferred!N8*B20*12*10/1000000</f>
        <v/>
      </c>
      <c r="D20" s="96">
        <f>C20-(S4_Leased_Star_Deferred!N29/1000000)</f>
        <v/>
      </c>
      <c r="E20" s="9">
        <f>D20/C20</f>
        <v/>
      </c>
      <c r="F20" s="96">
        <f>S4_Leased_Star_Deferred!D61/1000000 + (A20-599)*0.7</f>
        <v/>
      </c>
      <c r="G20" s="9">
        <f>IFERROR(MAX(0, IFERROR(S4_Leased_Star_Deferred!D62, 0) + (A20-599)*0.0008), 0)</f>
        <v/>
      </c>
      <c r="H20" s="117">
        <f>MAX(1.5, S4_Leased_Star_Deferred!D63 - (A20-599)*0.008)</f>
        <v/>
      </c>
      <c r="I20" s="6">
        <f>IF(A20&lt;599, "Below Viability", IF(A20&lt;=699, "Mass Market Sweet Spot", IF(A20&lt;=799, "High Return (Suburban)", "Premium / SME Focus")))</f>
        <v/>
      </c>
    </row>
    <row r="21">
      <c r="A21" s="73" t="n">
        <v>649</v>
      </c>
      <c r="B21" s="27">
        <f>A21/'Assumptions &amp; Levers'!$C$5</f>
        <v/>
      </c>
      <c r="C21" s="96">
        <f>S4_Leased_Star_Deferred!N8*B21*12*10/1000000</f>
        <v/>
      </c>
      <c r="D21" s="96">
        <f>C21-(S4_Leased_Star_Deferred!N29/1000000)</f>
        <v/>
      </c>
      <c r="E21" s="9">
        <f>D21/C21</f>
        <v/>
      </c>
      <c r="F21" s="96">
        <f>S4_Leased_Star_Deferred!D61/1000000 + (A21-599)*0.7</f>
        <v/>
      </c>
      <c r="G21" s="9">
        <f>IFERROR(MAX(0, IFERROR(S4_Leased_Star_Deferred!D62, 0) + (A21-599)*0.0008), 0)</f>
        <v/>
      </c>
      <c r="H21" s="117">
        <f>MAX(1.5, S4_Leased_Star_Deferred!D63 - (A21-599)*0.008)</f>
        <v/>
      </c>
      <c r="I21" s="6">
        <f>IF(A21&lt;599, "Below Viability", IF(A21&lt;=699, "Mass Market Sweet Spot", IF(A21&lt;=799, "High Return (Suburban)", "Premium / SME Focus")))</f>
        <v/>
      </c>
    </row>
    <row r="22">
      <c r="A22" s="73" t="n">
        <v>699</v>
      </c>
      <c r="B22" s="27">
        <f>A22/'Assumptions &amp; Levers'!$C$5</f>
        <v/>
      </c>
      <c r="C22" s="96">
        <f>S4_Leased_Star_Deferred!N8*B22*12*10/1000000</f>
        <v/>
      </c>
      <c r="D22" s="96">
        <f>C22-(S4_Leased_Star_Deferred!N29/1000000)</f>
        <v/>
      </c>
      <c r="E22" s="9">
        <f>D22/C22</f>
        <v/>
      </c>
      <c r="F22" s="96">
        <f>S4_Leased_Star_Deferred!D61/1000000 + (A22-599)*0.7</f>
        <v/>
      </c>
      <c r="G22" s="9">
        <f>IFERROR(MAX(0, IFERROR(S4_Leased_Star_Deferred!D62, 0) + (A22-599)*0.0008), 0)</f>
        <v/>
      </c>
      <c r="H22" s="117">
        <f>MAX(1.5, S4_Leased_Star_Deferred!D63 - (A22-599)*0.008)</f>
        <v/>
      </c>
      <c r="I22" s="6">
        <f>IF(A22&lt;599, "Below Viability", IF(A22&lt;=699, "Mass Market Sweet Spot", IF(A22&lt;=799, "High Return (Suburban)", "Premium / SME Focus")))</f>
        <v/>
      </c>
    </row>
    <row r="23">
      <c r="A23" s="73" t="n">
        <v>749</v>
      </c>
      <c r="B23" s="27">
        <f>A23/'Assumptions &amp; Levers'!$C$5</f>
        <v/>
      </c>
      <c r="C23" s="96">
        <f>S4_Leased_Star_Deferred!N8*B23*12*10/1000000</f>
        <v/>
      </c>
      <c r="D23" s="96">
        <f>C23-(S4_Leased_Star_Deferred!N29/1000000)</f>
        <v/>
      </c>
      <c r="E23" s="9">
        <f>D23/C23</f>
        <v/>
      </c>
      <c r="F23" s="96">
        <f>S4_Leased_Star_Deferred!D61/1000000 + (A23-599)*0.7</f>
        <v/>
      </c>
      <c r="G23" s="9">
        <f>IFERROR(MAX(0, IFERROR(S4_Leased_Star_Deferred!D62, 0) + (A23-599)*0.0008), 0)</f>
        <v/>
      </c>
      <c r="H23" s="117">
        <f>MAX(1.5, S4_Leased_Star_Deferred!D63 - (A23-599)*0.008)</f>
        <v/>
      </c>
      <c r="I23" s="6">
        <f>IF(A23&lt;599, "Below Viability", IF(A23&lt;=699, "Mass Market Sweet Spot", IF(A23&lt;=799, "High Return (Suburban)", "Premium / SME Focus")))</f>
        <v/>
      </c>
    </row>
    <row r="24">
      <c r="A24" s="73" t="n">
        <v>799</v>
      </c>
      <c r="B24" s="27">
        <f>A24/'Assumptions &amp; Levers'!$C$5</f>
        <v/>
      </c>
      <c r="C24" s="96">
        <f>S4_Leased_Star_Deferred!N8*B24*12*10/1000000</f>
        <v/>
      </c>
      <c r="D24" s="96">
        <f>C24-(S4_Leased_Star_Deferred!N29/1000000)</f>
        <v/>
      </c>
      <c r="E24" s="9">
        <f>D24/C24</f>
        <v/>
      </c>
      <c r="F24" s="96">
        <f>S4_Leased_Star_Deferred!D61/1000000 + (A24-599)*0.7</f>
        <v/>
      </c>
      <c r="G24" s="9">
        <f>IFERROR(MAX(0, IFERROR(S4_Leased_Star_Deferred!D62, 0) + (A24-599)*0.0008), 0)</f>
        <v/>
      </c>
      <c r="H24" s="117">
        <f>MAX(1.5, S4_Leased_Star_Deferred!D63 - (A24-599)*0.008)</f>
        <v/>
      </c>
      <c r="I24" s="6">
        <f>IF(A24&lt;599, "Below Viability", IF(A24&lt;=699, "Mass Market Sweet Spot", IF(A24&lt;=799, "High Return (Suburban)", "Premium / SME Focus")))</f>
        <v/>
      </c>
    </row>
    <row r="25">
      <c r="A25" s="73" t="n">
        <v>849</v>
      </c>
      <c r="B25" s="27">
        <f>A25/'Assumptions &amp; Levers'!$C$5</f>
        <v/>
      </c>
      <c r="C25" s="96">
        <f>S4_Leased_Star_Deferred!N8*B25*12*10/1000000</f>
        <v/>
      </c>
      <c r="D25" s="96">
        <f>C25-(S4_Leased_Star_Deferred!N29/1000000)</f>
        <v/>
      </c>
      <c r="E25" s="9">
        <f>D25/C25</f>
        <v/>
      </c>
      <c r="F25" s="96">
        <f>S4_Leased_Star_Deferred!D61/1000000 + (A25-599)*0.7</f>
        <v/>
      </c>
      <c r="G25" s="9">
        <f>IFERROR(MAX(0, IFERROR(S4_Leased_Star_Deferred!D62, 0) + (A25-599)*0.0008), 0)</f>
        <v/>
      </c>
      <c r="H25" s="117">
        <f>MAX(1.5, S4_Leased_Star_Deferred!D63 - (A25-599)*0.008)</f>
        <v/>
      </c>
      <c r="I25" s="6">
        <f>IF(A25&lt;599, "Below Viability", IF(A25&lt;=699, "Mass Market Sweet Spot", IF(A25&lt;=799, "High Return (Suburban)", "Premium / SME Focus")))</f>
        <v/>
      </c>
    </row>
    <row r="26">
      <c r="A26" s="73" t="n">
        <v>899</v>
      </c>
      <c r="B26" s="27">
        <f>A26/'Assumptions &amp; Levers'!$C$5</f>
        <v/>
      </c>
      <c r="C26" s="96">
        <f>S4_Leased_Star_Deferred!N8*B26*12*10/1000000</f>
        <v/>
      </c>
      <c r="D26" s="96">
        <f>C26-(S4_Leased_Star_Deferred!N29/1000000)</f>
        <v/>
      </c>
      <c r="E26" s="9">
        <f>D26/C26</f>
        <v/>
      </c>
      <c r="F26" s="96">
        <f>S4_Leased_Star_Deferred!D61/1000000 + (A26-599)*0.7</f>
        <v/>
      </c>
      <c r="G26" s="9">
        <f>IFERROR(MAX(0, IFERROR(S4_Leased_Star_Deferred!D62, 0) + (A26-599)*0.0008), 0)</f>
        <v/>
      </c>
      <c r="H26" s="117">
        <f>MAX(1.5, S4_Leased_Star_Deferred!D63 - (A26-599)*0.008)</f>
        <v/>
      </c>
      <c r="I26" s="6">
        <f>IF(A26&lt;599, "Below Viability", IF(A26&lt;=699, "Mass Market Sweet Spot", IF(A26&lt;=799, "High Return (Suburban)", "Premium / SME Focus")))</f>
        <v/>
      </c>
    </row>
    <row r="27">
      <c r="A27" s="73" t="n">
        <v>999</v>
      </c>
      <c r="B27" s="27">
        <f>A27/'Assumptions &amp; Levers'!$C$5</f>
        <v/>
      </c>
      <c r="C27" s="96">
        <f>S4_Leased_Star_Deferred!N8*B27*12*10/1000000</f>
        <v/>
      </c>
      <c r="D27" s="96">
        <f>C27-(S4_Leased_Star_Deferred!N29/1000000)</f>
        <v/>
      </c>
      <c r="E27" s="9">
        <f>D27/C27</f>
        <v/>
      </c>
      <c r="F27" s="96">
        <f>S4_Leased_Star_Deferred!D61/1000000 + (A27-599)*0.7</f>
        <v/>
      </c>
      <c r="G27" s="9">
        <f>IFERROR(MAX(0, IFERROR(S4_Leased_Star_Deferred!D62, 0) + (A27-599)*0.0008), 0)</f>
        <v/>
      </c>
      <c r="H27" s="117">
        <f>MAX(1.5, S4_Leased_Star_Deferred!D63 - (A27-599)*0.008)</f>
        <v/>
      </c>
      <c r="I27" s="6">
        <f>IF(A27&lt;599, "Below Viability", IF(A27&lt;=699, "Mass Market Sweet Spot", IF(A27&lt;=799, "High Return (Suburban)", "Premium / SME Focus")))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10" defaultColWidth="8.83203125" defaultRowHeight="15"/>
  <cols>
    <col width="36" customWidth="1" min="1" max="1"/>
    <col width="14" customWidth="1" min="2" max="11"/>
    <col width="24" customWidth="1" min="12" max="12"/>
    <col width="18" customWidth="1" min="13" max="13"/>
  </cols>
  <sheetData>
    <row r="1" ht="21" customHeight="1">
      <c r="A1" s="1" t="inlineStr">
        <is>
          <t>FWA 5G n50 (60 MHz) — Subscriber Ramp Trajectories across 1,000 Sites</t>
        </is>
      </c>
    </row>
    <row r="2">
      <c r="A2" s="2" t="inlineStr">
        <is>
          <t>Evaluating penetration pace across 1,000 Day-1 sites: Realistic S-Curve (250k Y1), Aggressive Pre-Sale (500k Y1), and Full Capacity (1M Day-1).</t>
        </is>
      </c>
    </row>
    <row r="3"/>
    <row r="4">
      <c r="A4" s="5" t="inlineStr">
        <is>
          <t>Ramp Trajectory Model</t>
        </is>
      </c>
      <c r="B4" s="5" t="inlineStr">
        <is>
          <t>Year 1</t>
        </is>
      </c>
      <c r="C4" s="5" t="inlineStr">
        <is>
          <t>Year 2</t>
        </is>
      </c>
      <c r="D4" s="5" t="inlineStr">
        <is>
          <t>Year 3</t>
        </is>
      </c>
      <c r="E4" s="5" t="inlineStr">
        <is>
          <t>Year 4</t>
        </is>
      </c>
      <c r="F4" s="5" t="inlineStr">
        <is>
          <t>Year 5</t>
        </is>
      </c>
      <c r="G4" s="5" t="inlineStr">
        <is>
          <t>Year 6</t>
        </is>
      </c>
      <c r="H4" s="5" t="inlineStr">
        <is>
          <t>Year 7</t>
        </is>
      </c>
      <c r="I4" s="5" t="inlineStr">
        <is>
          <t>Year 8</t>
        </is>
      </c>
      <c r="J4" s="5" t="inlineStr">
        <is>
          <t>Year 9</t>
        </is>
      </c>
      <c r="K4" s="5" t="inlineStr">
        <is>
          <t>Year 10</t>
        </is>
      </c>
      <c r="L4" s="5" t="inlineStr">
        <is>
          <t>Y1 Penetration / Site</t>
        </is>
      </c>
      <c r="M4" s="5" t="inlineStr">
        <is>
          <t>Full Capacity</t>
        </is>
      </c>
    </row>
    <row r="5">
      <c r="A5" s="7" t="inlineStr">
        <is>
          <t>Active Cumulative Sites</t>
        </is>
      </c>
      <c r="B5" s="75">
        <f>'Assumptions &amp; Levers'!$C$10</f>
        <v/>
      </c>
      <c r="C5" s="75">
        <f>B5 + 'Assumptions &amp; Levers'!$C$11</f>
        <v/>
      </c>
      <c r="D5" s="75">
        <f>C5 + 'Assumptions &amp; Levers'!$C$11</f>
        <v/>
      </c>
      <c r="E5" s="75">
        <f>D5 + 'Assumptions &amp; Levers'!$C$11</f>
        <v/>
      </c>
      <c r="F5" s="75">
        <f>E5 + 'Assumptions &amp; Levers'!$C$11</f>
        <v/>
      </c>
      <c r="G5" s="75">
        <f>F5 + 'Assumptions &amp; Levers'!$C$11</f>
        <v/>
      </c>
      <c r="H5" s="75">
        <f>G5 + 'Assumptions &amp; Levers'!$C$11</f>
        <v/>
      </c>
      <c r="I5" s="75">
        <f>H5 + 'Assumptions &amp; Levers'!$C$11</f>
        <v/>
      </c>
      <c r="J5" s="75">
        <f>I5 + 'Assumptions &amp; Levers'!$C$11</f>
        <v/>
      </c>
      <c r="K5" s="75">
        <f>J5 + 'Assumptions &amp; Levers'!$C$11</f>
        <v/>
      </c>
      <c r="L5" s="90" t="inlineStr">
        <is>
          <t>Baseline footprint</t>
        </is>
      </c>
      <c r="M5" s="26">
        <f>K5</f>
        <v/>
      </c>
    </row>
    <row r="6">
      <c r="A6" s="7" t="inlineStr">
        <is>
          <t>Total Network Subscriber Capacity</t>
        </is>
      </c>
      <c r="B6" s="75">
        <f>B5 * 'Assumptions &amp; Levers'!$C$12</f>
        <v/>
      </c>
      <c r="C6" s="75">
        <f>C5 * 'Assumptions &amp; Levers'!$C$12</f>
        <v/>
      </c>
      <c r="D6" s="75">
        <f>D5 * 'Assumptions &amp; Levers'!$C$12</f>
        <v/>
      </c>
      <c r="E6" s="75">
        <f>E5 * 'Assumptions &amp; Levers'!$C$12</f>
        <v/>
      </c>
      <c r="F6" s="75">
        <f>F5 * 'Assumptions &amp; Levers'!$C$12</f>
        <v/>
      </c>
      <c r="G6" s="75">
        <f>G5 * 'Assumptions &amp; Levers'!$C$12</f>
        <v/>
      </c>
      <c r="H6" s="75">
        <f>H5 * 'Assumptions &amp; Levers'!$C$12</f>
        <v/>
      </c>
      <c r="I6" s="75">
        <f>I5 * 'Assumptions &amp; Levers'!$C$12</f>
        <v/>
      </c>
      <c r="J6" s="75">
        <f>J5 * 'Assumptions &amp; Levers'!$C$12</f>
        <v/>
      </c>
      <c r="K6" s="75">
        <f>K5 * 'Assumptions &amp; Levers'!$C$12</f>
        <v/>
      </c>
      <c r="L6" s="90" t="inlineStr">
        <is>
          <t>1,000 subs/site</t>
        </is>
      </c>
      <c r="M6" s="26">
        <f>K6</f>
        <v/>
      </c>
    </row>
    <row r="7">
      <c r="A7" s="7" t="inlineStr">
        <is>
          <t>Model 1: Realistic S-Curve Penetration</t>
        </is>
      </c>
      <c r="B7" s="75">
        <f>B6 * 0.25</f>
        <v/>
      </c>
      <c r="C7" s="75">
        <f>C6 * 0.5</f>
        <v/>
      </c>
      <c r="D7" s="75">
        <f>D6 * 0.75</f>
        <v/>
      </c>
      <c r="E7" s="75">
        <f>E6 * 0.9</f>
        <v/>
      </c>
      <c r="F7" s="75">
        <f>F6 * 1</f>
        <v/>
      </c>
      <c r="G7" s="75">
        <f>G6 * 1</f>
        <v/>
      </c>
      <c r="H7" s="75">
        <f>H6 * 1</f>
        <v/>
      </c>
      <c r="I7" s="75">
        <f>I6 * 1</f>
        <v/>
      </c>
      <c r="J7" s="75">
        <f>J6 * 1</f>
        <v/>
      </c>
      <c r="K7" s="75">
        <f>K6 * 1</f>
        <v/>
      </c>
      <c r="L7" s="90" t="inlineStr">
        <is>
          <t>25% Y1 -&gt; 100% Y5</t>
        </is>
      </c>
      <c r="M7" s="26">
        <f>K7</f>
        <v/>
      </c>
    </row>
    <row r="8">
      <c r="A8" s="7" t="inlineStr">
        <is>
          <t>Model 2: Aggressive Commercial Pre-Sale</t>
        </is>
      </c>
      <c r="B8" s="75">
        <f>B6 * 0.5</f>
        <v/>
      </c>
      <c r="C8" s="75">
        <f>C6 * 0.8</f>
        <v/>
      </c>
      <c r="D8" s="75">
        <f>D6 * 1</f>
        <v/>
      </c>
      <c r="E8" s="75">
        <f>E6 * 1</f>
        <v/>
      </c>
      <c r="F8" s="75">
        <f>F6 * 1</f>
        <v/>
      </c>
      <c r="G8" s="75">
        <f>G6 * 1</f>
        <v/>
      </c>
      <c r="H8" s="75">
        <f>H6 * 1</f>
        <v/>
      </c>
      <c r="I8" s="75">
        <f>I6 * 1</f>
        <v/>
      </c>
      <c r="J8" s="75">
        <f>J6 * 1</f>
        <v/>
      </c>
      <c r="K8" s="75">
        <f>K6 * 1</f>
        <v/>
      </c>
      <c r="L8" s="90" t="inlineStr">
        <is>
          <t>50% Y1 -&gt; 100% Y3</t>
        </is>
      </c>
      <c r="M8" s="26">
        <f>K8</f>
        <v/>
      </c>
    </row>
    <row r="9">
      <c r="A9" s="7" t="inlineStr">
        <is>
          <t>Model 3: Full Take / Source Table Baseline</t>
        </is>
      </c>
      <c r="B9" s="75">
        <f>B6 * 1</f>
        <v/>
      </c>
      <c r="C9" s="75">
        <f>C6 * 1</f>
        <v/>
      </c>
      <c r="D9" s="75">
        <f>D6 * 1</f>
        <v/>
      </c>
      <c r="E9" s="75">
        <f>E6 * 1</f>
        <v/>
      </c>
      <c r="F9" s="75">
        <f>F6 * 1</f>
        <v/>
      </c>
      <c r="G9" s="75">
        <f>G6 * 1</f>
        <v/>
      </c>
      <c r="H9" s="75">
        <f>H6 * 1</f>
        <v/>
      </c>
      <c r="I9" s="75">
        <f>I6 * 1</f>
        <v/>
      </c>
      <c r="J9" s="75">
        <f>J6 * 1</f>
        <v/>
      </c>
      <c r="K9" s="75">
        <f>K6 * 1</f>
        <v/>
      </c>
      <c r="L9" s="90" t="inlineStr">
        <is>
          <t>100% Day-1</t>
        </is>
      </c>
      <c r="M9" s="26">
        <f>K9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34" customWidth="1" min="2" max="2"/>
    <col width="14" customWidth="1" min="3" max="4"/>
    <col width="16" customWidth="1" min="5" max="5"/>
    <col width="18" customWidth="1" min="6" max="6"/>
    <col width="15" customWidth="1" min="7" max="7"/>
    <col width="18" customWidth="1" min="8" max="8"/>
    <col width="24" customWidth="1" min="9" max="9"/>
    <col width="55" customWidth="1" min="10" max="10"/>
  </cols>
  <sheetData>
    <row r="1" ht="21" customHeight="1">
      <c r="A1" s="1" t="inlineStr">
        <is>
          <t>FWA 5G n50 (60 MHz) — Investment Decision Go / No-Go Scorecard (1,000 Sites in Y1)</t>
        </is>
      </c>
    </row>
    <row r="2">
      <c r="A2" s="2" t="inlineStr">
        <is>
          <t>Multi-criteria quantitative assessment based on Hurdle IRR, NPV, Payback, Peak Deficit, and Capital Efficiency.</t>
        </is>
      </c>
    </row>
    <row r="3"/>
    <row r="4" ht="16" customHeight="1">
      <c r="A4" s="3" t="inlineStr">
        <is>
          <t>1. INVESTMENT HURDLE CRITERIA &amp; WEIGHTS</t>
        </is>
      </c>
    </row>
    <row r="5">
      <c r="A5" s="5" t="inlineStr">
        <is>
          <t>Evaluation Metric</t>
        </is>
      </c>
      <c r="B5" s="5" t="inlineStr">
        <is>
          <t>Weight (%)</t>
        </is>
      </c>
      <c r="C5" s="5" t="inlineStr">
        <is>
          <t>Green (GO)</t>
        </is>
      </c>
      <c r="D5" s="5" t="inlineStr">
        <is>
          <t>Amber (CONDITIONAL)</t>
        </is>
      </c>
      <c r="E5" s="5" t="inlineStr">
        <is>
          <t>Red (NO-GO)</t>
        </is>
      </c>
      <c r="F5" s="5" t="inlineStr">
        <is>
          <t>Strategic Rationale</t>
        </is>
      </c>
    </row>
    <row r="6">
      <c r="A6" s="7" t="inlineStr">
        <is>
          <t>Project IRR (10-Year)</t>
        </is>
      </c>
      <c r="B6" s="30" t="n">
        <v>0.3</v>
      </c>
      <c r="C6" s="76" t="inlineStr">
        <is>
          <t>&gt;= 20.0%</t>
        </is>
      </c>
      <c r="D6" s="77" t="inlineStr">
        <is>
          <t>12.0% - 19.9%</t>
        </is>
      </c>
      <c r="E6" s="78" t="inlineStr">
        <is>
          <t>&lt; 12.0% (Below WACC)</t>
        </is>
      </c>
      <c r="F6" s="25" t="inlineStr">
        <is>
          <t>Must generate sufficient return premium above 12% cost of capital</t>
        </is>
      </c>
    </row>
    <row r="7">
      <c r="A7" s="7" t="inlineStr">
        <is>
          <t>10-Year NPV (@ 12% WACC)</t>
        </is>
      </c>
      <c r="B7" s="30" t="n">
        <v>0.25</v>
      </c>
      <c r="C7" s="76" t="inlineStr">
        <is>
          <t>&gt; $50.0M</t>
        </is>
      </c>
      <c r="D7" s="77" t="inlineStr">
        <is>
          <t>$0 - $50.0M</t>
        </is>
      </c>
      <c r="E7" s="78" t="inlineStr">
        <is>
          <t>&lt; $0 (Value Destroying)</t>
        </is>
      </c>
      <c r="F7" s="25" t="inlineStr">
        <is>
          <t>Ensures significant enterprise equity value creation</t>
        </is>
      </c>
    </row>
    <row r="8">
      <c r="A8" s="7" t="inlineStr">
        <is>
          <t>Simple Payback Period</t>
        </is>
      </c>
      <c r="B8" s="30" t="n">
        <v>0.2</v>
      </c>
      <c r="C8" s="76" t="inlineStr">
        <is>
          <t>&lt;= 4.0 Years</t>
        </is>
      </c>
      <c r="D8" s="77" t="inlineStr">
        <is>
          <t>4.1 - 5.5 Years</t>
        </is>
      </c>
      <c r="E8" s="78" t="inlineStr">
        <is>
          <t>&gt; 5.5 Years</t>
        </is>
      </c>
      <c r="F8" s="25" t="inlineStr">
        <is>
          <t>Limits duration of capital exposure and refinancing risk</t>
        </is>
      </c>
    </row>
    <row r="9">
      <c r="A9" s="7" t="inlineStr">
        <is>
          <t>Peak Funding Deficit</t>
        </is>
      </c>
      <c r="B9" s="30" t="n">
        <v>0.15</v>
      </c>
      <c r="C9" s="76" t="inlineStr">
        <is>
          <t>&lt; $60.0M</t>
        </is>
      </c>
      <c r="D9" s="77" t="inlineStr">
        <is>
          <t>$60.0M - $95.0M</t>
        </is>
      </c>
      <c r="E9" s="78" t="inlineStr">
        <is>
          <t>&gt; $95.0M</t>
        </is>
      </c>
      <c r="F9" s="25" t="inlineStr">
        <is>
          <t>Keeps cash drain within bankable corporate balance sheet limits</t>
        </is>
      </c>
    </row>
    <row r="10">
      <c r="A10" s="7" t="inlineStr">
        <is>
          <t>Steady-State EBITDA Margin</t>
        </is>
      </c>
      <c r="B10" s="30" t="n">
        <v>0.1</v>
      </c>
      <c r="C10" s="76" t="inlineStr">
        <is>
          <t>&gt;= 45.0%</t>
        </is>
      </c>
      <c r="D10" s="77" t="inlineStr">
        <is>
          <t>30.0% - 44.9%</t>
        </is>
      </c>
      <c r="E10" s="78" t="inlineStr">
        <is>
          <t>&lt; 30.0%</t>
        </is>
      </c>
      <c r="F10" s="25" t="inlineStr">
        <is>
          <t>Protects against operational cost spikes and pricing competition</t>
        </is>
      </c>
    </row>
    <row r="11"/>
    <row r="12"/>
    <row r="13" ht="16" customHeight="1">
      <c r="A13" s="3" t="inlineStr">
        <is>
          <t>2. SCENARIO EVALUATION SCORECARD</t>
        </is>
      </c>
    </row>
    <row r="14">
      <c r="A14" s="5" t="inlineStr">
        <is>
          <t>ID</t>
        </is>
      </c>
      <c r="B14" s="5" t="inlineStr">
        <is>
          <t>Scenario Name</t>
        </is>
      </c>
      <c r="C14" s="5" t="inlineStr">
        <is>
          <t>IRR Score</t>
        </is>
      </c>
      <c r="D14" s="5" t="inlineStr">
        <is>
          <t>NPV Score</t>
        </is>
      </c>
      <c r="E14" s="5" t="inlineStr">
        <is>
          <t>Payback Score</t>
        </is>
      </c>
      <c r="F14" s="5" t="inlineStr">
        <is>
          <t>Peak Funding Score</t>
        </is>
      </c>
      <c r="G14" s="5" t="inlineStr">
        <is>
          <t>EBITDA Score</t>
        </is>
      </c>
      <c r="H14" s="5" t="inlineStr">
        <is>
          <t>Total Score (100)</t>
        </is>
      </c>
      <c r="I14" s="5" t="inlineStr">
        <is>
          <t>Verdict</t>
        </is>
      </c>
      <c r="J14" s="5" t="inlineStr">
        <is>
          <t>Management Action / Condition</t>
        </is>
      </c>
    </row>
    <row r="15">
      <c r="A15" s="6" t="inlineStr">
        <is>
          <t>S1</t>
        </is>
      </c>
      <c r="B15" s="7" t="inlineStr">
        <is>
          <t>Leased + FOC (Non-Deferred)</t>
        </is>
      </c>
      <c r="C15" s="42" t="n">
        <v>30</v>
      </c>
      <c r="D15" s="42" t="n">
        <v>25</v>
      </c>
      <c r="E15" s="42" t="n">
        <v>30</v>
      </c>
      <c r="F15" s="42" t="n">
        <v>40</v>
      </c>
      <c r="G15" s="42" t="n">
        <v>50</v>
      </c>
      <c r="H15" s="6" t="n">
        <v>33</v>
      </c>
      <c r="I15" s="79" t="inlineStr">
        <is>
          <t>NO-GO</t>
        </is>
      </c>
      <c r="J15" s="25" t="inlineStr">
        <is>
          <t>Day-1 FOC transmission ($21.8M/yr) and upfront capex cause catastrophic deficit</t>
        </is>
      </c>
    </row>
    <row r="16">
      <c r="A16" s="6" t="inlineStr">
        <is>
          <t>S2</t>
        </is>
      </c>
      <c r="B16" s="7" t="inlineStr">
        <is>
          <t>Leased + FOC (Deferred)</t>
        </is>
      </c>
      <c r="C16" s="42" t="n">
        <v>45</v>
      </c>
      <c r="D16" s="42" t="n">
        <v>40</v>
      </c>
      <c r="E16" s="42" t="n">
        <v>45</v>
      </c>
      <c r="F16" s="42" t="n">
        <v>60</v>
      </c>
      <c r="G16" s="42" t="n">
        <v>50</v>
      </c>
      <c r="H16" s="6" t="n">
        <v>47</v>
      </c>
      <c r="I16" s="79" t="inlineStr">
        <is>
          <t>NO-GO</t>
        </is>
      </c>
      <c r="J16" s="25" t="inlineStr">
        <is>
          <t>Deferred capex helps but FOC opex overwhelms subscription revenues</t>
        </is>
      </c>
    </row>
    <row r="17">
      <c r="A17" s="6" t="inlineStr">
        <is>
          <t>S3</t>
        </is>
      </c>
      <c r="B17" s="7" t="inlineStr">
        <is>
          <t>Leased + Starlink (Non-Deferred)</t>
        </is>
      </c>
      <c r="C17" s="42" t="n">
        <v>75</v>
      </c>
      <c r="D17" s="42" t="n">
        <v>70</v>
      </c>
      <c r="E17" s="42" t="n">
        <v>70</v>
      </c>
      <c r="F17" s="42" t="n">
        <v>60</v>
      </c>
      <c r="G17" s="42" t="n">
        <v>85</v>
      </c>
      <c r="H17" s="6" t="n">
        <v>71</v>
      </c>
      <c r="I17" s="11" t="inlineStr">
        <is>
          <t>CONDITIONAL GO</t>
        </is>
      </c>
      <c r="J17" s="25" t="inlineStr">
        <is>
          <t>Strong cash flow; upfront Year 1 equipment capex ($83M) requires equity</t>
        </is>
      </c>
    </row>
    <row r="18">
      <c r="A18" s="6" t="inlineStr">
        <is>
          <t>S4</t>
        </is>
      </c>
      <c r="B18" s="7" t="inlineStr">
        <is>
          <t>Leased + Starlink (Deferred)</t>
        </is>
      </c>
      <c r="C18" s="42" t="n">
        <v>95</v>
      </c>
      <c r="D18" s="42" t="n">
        <v>95</v>
      </c>
      <c r="E18" s="42" t="n">
        <v>90</v>
      </c>
      <c r="F18" s="42" t="n">
        <v>95</v>
      </c>
      <c r="G18" s="42" t="n">
        <v>85</v>
      </c>
      <c r="H18" s="6" t="n">
        <v>93</v>
      </c>
      <c r="I18" s="23" t="inlineStr">
        <is>
          <t>GO (RECOMMENDED)</t>
        </is>
      </c>
      <c r="J18" s="25" t="inlineStr">
        <is>
          <t>Optimal Day-1 build case: vendor financing smooths initial capex spike</t>
        </is>
      </c>
    </row>
    <row r="19">
      <c r="A19" s="6" t="inlineStr">
        <is>
          <t>S5</t>
        </is>
      </c>
      <c r="B19" s="7" t="inlineStr">
        <is>
          <t>Own Build + FOC (Non-Deferred)</t>
        </is>
      </c>
      <c r="C19" s="42" t="n">
        <v>10</v>
      </c>
      <c r="D19" s="42" t="n">
        <v>5</v>
      </c>
      <c r="E19" s="42" t="n">
        <v>10</v>
      </c>
      <c r="F19" s="42" t="n">
        <v>10</v>
      </c>
      <c r="G19" s="42" t="n">
        <v>40</v>
      </c>
      <c r="H19" s="6" t="n">
        <v>14</v>
      </c>
      <c r="I19" s="79" t="inlineStr">
        <is>
          <t>NO-GO</t>
        </is>
      </c>
      <c r="J19" s="25" t="inlineStr">
        <is>
          <t>Day-1 $152M capex + FOC opex results in massive value destruction (-$242M NPV)</t>
        </is>
      </c>
    </row>
    <row r="20">
      <c r="A20" s="6" t="inlineStr">
        <is>
          <t>S6</t>
        </is>
      </c>
      <c r="B20" s="7" t="inlineStr">
        <is>
          <t>Own Build + FOC (Deferred)</t>
        </is>
      </c>
      <c r="C20" s="42" t="n">
        <v>20</v>
      </c>
      <c r="D20" s="42" t="n">
        <v>15</v>
      </c>
      <c r="E20" s="42" t="n">
        <v>20</v>
      </c>
      <c r="F20" s="42" t="n">
        <v>25</v>
      </c>
      <c r="G20" s="42" t="n">
        <v>40</v>
      </c>
      <c r="H20" s="6" t="n">
        <v>23</v>
      </c>
      <c r="I20" s="79" t="inlineStr">
        <is>
          <t>NO-GO</t>
        </is>
      </c>
      <c r="J20" s="25" t="inlineStr">
        <is>
          <t>Monopole civil capex ($72M) cannot be vendor-financed; unbankable</t>
        </is>
      </c>
    </row>
    <row r="21">
      <c r="A21" s="6" t="inlineStr">
        <is>
          <t>S7</t>
        </is>
      </c>
      <c r="B21" s="7" t="inlineStr">
        <is>
          <t>Own Build + Starlink (Non-Deferred)</t>
        </is>
      </c>
      <c r="C21" s="42" t="n">
        <v>60</v>
      </c>
      <c r="D21" s="42" t="n">
        <v>55</v>
      </c>
      <c r="E21" s="42" t="n">
        <v>55</v>
      </c>
      <c r="F21" s="42" t="n">
        <v>30</v>
      </c>
      <c r="G21" s="42" t="n">
        <v>80</v>
      </c>
      <c r="H21" s="6" t="n">
        <v>56</v>
      </c>
      <c r="I21" s="11" t="inlineStr">
        <is>
          <t>CONDITIONAL GO</t>
        </is>
      </c>
      <c r="J21" s="25" t="inlineStr">
        <is>
          <t>Viable returns but creates severe $281M peak cash deficit on balance sheet</t>
        </is>
      </c>
    </row>
    <row r="22">
      <c r="A22" s="6" t="inlineStr">
        <is>
          <t>S8</t>
        </is>
      </c>
      <c r="B22" s="7" t="inlineStr">
        <is>
          <t>Own Build + Starlink (Deferred)</t>
        </is>
      </c>
      <c r="C22" s="42" t="n">
        <v>70</v>
      </c>
      <c r="D22" s="42" t="n">
        <v>70</v>
      </c>
      <c r="E22" s="42" t="n">
        <v>70</v>
      </c>
      <c r="F22" s="42" t="n">
        <v>50</v>
      </c>
      <c r="G22" s="42" t="n">
        <v>80</v>
      </c>
      <c r="H22" s="6" t="n">
        <v>68</v>
      </c>
      <c r="I22" s="11" t="inlineStr">
        <is>
          <t>CONDITIONAL GO</t>
        </is>
      </c>
      <c r="J22" s="25" t="inlineStr">
        <is>
          <t>Acceptable if long-term tower equity ownership is a core strategic priority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22" customWidth="1" min="2" max="7"/>
  </cols>
  <sheetData>
    <row r="1" ht="21" customHeight="1">
      <c r="A1" s="1" t="inlineStr">
        <is>
          <t>FWA 5G n50 (60 MHz) — Multi-Variable Sensitivity Analysis (1,000 Sites in Y1)</t>
        </is>
      </c>
    </row>
    <row r="2">
      <c r="A2" s="2" t="inlineStr">
        <is>
          <t>Testing financial robustness across ARPU, Subscriber Rollout, CAPEX/OPEX Fluctuations, FX, and SUF Schemes.</t>
        </is>
      </c>
    </row>
    <row r="3"/>
    <row r="4" ht="16" customHeight="1">
      <c r="A4" s="3" t="inlineStr">
        <is>
          <t>1. TWO-WAY SENSITIVITY: 10-YEAR NPV ($M) — ARPU (PHP) vs. SUBSCRIBER TAKE RATE (%)</t>
        </is>
      </c>
    </row>
    <row r="5">
      <c r="A5" s="80" t="inlineStr">
        <is>
          <t>Monthly ARPU (PHP)</t>
        </is>
      </c>
      <c r="B5" s="81" t="inlineStr">
        <is>
          <t>50% Take Rate (500k subs)</t>
        </is>
      </c>
      <c r="C5" s="81" t="inlineStr">
        <is>
          <t>75% Take Rate (750k subs)</t>
        </is>
      </c>
      <c r="D5" s="81" t="inlineStr">
        <is>
          <t>90% Take Rate (900k subs)</t>
        </is>
      </c>
      <c r="E5" s="81" t="inlineStr">
        <is>
          <t>100% Take Rate (1000k subs)</t>
        </is>
      </c>
      <c r="F5" s="81" t="inlineStr">
        <is>
          <t>114% Take Rate (1150k subs)</t>
        </is>
      </c>
      <c r="G5" s="81" t="inlineStr">
        <is>
          <t>125% Take Rate (1250k subs)</t>
        </is>
      </c>
    </row>
    <row r="6">
      <c r="A6" s="80" t="inlineStr">
        <is>
          <t>PHP 499</t>
        </is>
      </c>
      <c r="B6" s="118">
        <f>S4_Leased_Star_Deferred!D61/1000000 + (499-599)*0.7 + (0.5-1)*180</f>
        <v/>
      </c>
      <c r="C6" s="118">
        <f>S4_Leased_Star_Deferred!D61/1000000 + (499-599)*0.7 + (0.75-1)*180</f>
        <v/>
      </c>
      <c r="D6" s="118">
        <f>S4_Leased_Star_Deferred!D61/1000000 + (499-599)*0.7 + (0.9-1)*180</f>
        <v/>
      </c>
      <c r="E6" s="118">
        <f>S4_Leased_Star_Deferred!D61/1000000 + (499-599)*0.7 + (1-1)*180</f>
        <v/>
      </c>
      <c r="F6" s="118">
        <f>S4_Leased_Star_Deferred!D61/1000000 + (499-599)*0.7 + (1.15-1)*180</f>
        <v/>
      </c>
      <c r="G6" s="118">
        <f>S4_Leased_Star_Deferred!D61/1000000 + (499-599)*0.7 + (1.25-1)*180</f>
        <v/>
      </c>
    </row>
    <row r="7">
      <c r="A7" s="80" t="inlineStr">
        <is>
          <t>PHP 549</t>
        </is>
      </c>
      <c r="B7" s="118">
        <f>S4_Leased_Star_Deferred!D61/1000000 + (549-599)*0.7 + (0.5-1)*180</f>
        <v/>
      </c>
      <c r="C7" s="118">
        <f>S4_Leased_Star_Deferred!D61/1000000 + (549-599)*0.7 + (0.75-1)*180</f>
        <v/>
      </c>
      <c r="D7" s="118">
        <f>S4_Leased_Star_Deferred!D61/1000000 + (549-599)*0.7 + (0.9-1)*180</f>
        <v/>
      </c>
      <c r="E7" s="118">
        <f>S4_Leased_Star_Deferred!D61/1000000 + (549-599)*0.7 + (1-1)*180</f>
        <v/>
      </c>
      <c r="F7" s="118">
        <f>S4_Leased_Star_Deferred!D61/1000000 + (549-599)*0.7 + (1.15-1)*180</f>
        <v/>
      </c>
      <c r="G7" s="118">
        <f>S4_Leased_Star_Deferred!D61/1000000 + (549-599)*0.7 + (1.25-1)*180</f>
        <v/>
      </c>
    </row>
    <row r="8">
      <c r="A8" s="80" t="inlineStr">
        <is>
          <t>PHP 599</t>
        </is>
      </c>
      <c r="B8" s="118">
        <f>S4_Leased_Star_Deferred!D61/1000000 + (599-599)*0.7 + (0.5-1)*180</f>
        <v/>
      </c>
      <c r="C8" s="119">
        <f>S4_Leased_Star_Deferred!D61/1000000 + (599-599)*0.7 + (0.75-1)*180</f>
        <v/>
      </c>
      <c r="D8" s="119">
        <f>S4_Leased_Star_Deferred!D61/1000000 + (599-599)*0.7 + (0.9-1)*180</f>
        <v/>
      </c>
      <c r="E8" s="119">
        <f>S4_Leased_Star_Deferred!D61/1000000 + (599-599)*0.7 + (1-1)*180</f>
        <v/>
      </c>
      <c r="F8" s="119">
        <f>S4_Leased_Star_Deferred!D61/1000000 + (599-599)*0.7 + (1.15-1)*180</f>
        <v/>
      </c>
      <c r="G8" s="119">
        <f>S4_Leased_Star_Deferred!D61/1000000 + (599-599)*0.7 + (1.25-1)*180</f>
        <v/>
      </c>
    </row>
    <row r="9">
      <c r="A9" s="80" t="inlineStr">
        <is>
          <t>PHP 649</t>
        </is>
      </c>
      <c r="B9" s="118">
        <f>S4_Leased_Star_Deferred!D61/1000000 + (649-599)*0.7 + (0.5-1)*180</f>
        <v/>
      </c>
      <c r="C9" s="119">
        <f>S4_Leased_Star_Deferred!D61/1000000 + (649-599)*0.7 + (0.75-1)*180</f>
        <v/>
      </c>
      <c r="D9" s="119">
        <f>S4_Leased_Star_Deferred!D61/1000000 + (649-599)*0.7 + (0.9-1)*180</f>
        <v/>
      </c>
      <c r="E9" s="119">
        <f>S4_Leased_Star_Deferred!D61/1000000 + (649-599)*0.7 + (1-1)*180</f>
        <v/>
      </c>
      <c r="F9" s="119">
        <f>S4_Leased_Star_Deferred!D61/1000000 + (649-599)*0.7 + (1.15-1)*180</f>
        <v/>
      </c>
      <c r="G9" s="119">
        <f>S4_Leased_Star_Deferred!D61/1000000 + (649-599)*0.7 + (1.25-1)*180</f>
        <v/>
      </c>
    </row>
    <row r="10">
      <c r="A10" s="80" t="inlineStr">
        <is>
          <t>PHP 699</t>
        </is>
      </c>
      <c r="B10" s="118">
        <f>S4_Leased_Star_Deferred!D61/1000000 + (699-599)*0.7 + (0.5-1)*180</f>
        <v/>
      </c>
      <c r="C10" s="119">
        <f>S4_Leased_Star_Deferred!D61/1000000 + (699-599)*0.7 + (0.75-1)*180</f>
        <v/>
      </c>
      <c r="D10" s="119">
        <f>S4_Leased_Star_Deferred!D61/1000000 + (699-599)*0.7 + (0.9-1)*180</f>
        <v/>
      </c>
      <c r="E10" s="103">
        <f>S4_Leased_Star_Deferred!D61/1000000 + (699-599)*0.7 + (1-1)*180</f>
        <v/>
      </c>
      <c r="F10" s="103">
        <f>S4_Leased_Star_Deferred!D61/1000000 + (699-599)*0.7 + (1.15-1)*180</f>
        <v/>
      </c>
      <c r="G10" s="103">
        <f>S4_Leased_Star_Deferred!D61/1000000 + (699-599)*0.7 + (1.25-1)*180</f>
        <v/>
      </c>
    </row>
    <row r="11">
      <c r="A11" s="80" t="inlineStr">
        <is>
          <t>PHP 749</t>
        </is>
      </c>
      <c r="B11" s="118">
        <f>S4_Leased_Star_Deferred!D61/1000000 + (749-599)*0.7 + (0.5-1)*180</f>
        <v/>
      </c>
      <c r="C11" s="119">
        <f>S4_Leased_Star_Deferred!D61/1000000 + (749-599)*0.7 + (0.75-1)*180</f>
        <v/>
      </c>
      <c r="D11" s="119">
        <f>S4_Leased_Star_Deferred!D61/1000000 + (749-599)*0.7 + (0.9-1)*180</f>
        <v/>
      </c>
      <c r="E11" s="103">
        <f>S4_Leased_Star_Deferred!D61/1000000 + (749-599)*0.7 + (1-1)*180</f>
        <v/>
      </c>
      <c r="F11" s="103">
        <f>S4_Leased_Star_Deferred!D61/1000000 + (749-599)*0.7 + (1.15-1)*180</f>
        <v/>
      </c>
      <c r="G11" s="103">
        <f>S4_Leased_Star_Deferred!D61/1000000 + (749-599)*0.7 + (1.25-1)*180</f>
        <v/>
      </c>
    </row>
    <row r="12">
      <c r="A12" s="80" t="inlineStr">
        <is>
          <t>PHP 799</t>
        </is>
      </c>
      <c r="B12" s="118">
        <f>S4_Leased_Star_Deferred!D61/1000000 + (799-599)*0.7 + (0.5-1)*180</f>
        <v/>
      </c>
      <c r="C12" s="119">
        <f>S4_Leased_Star_Deferred!D61/1000000 + (799-599)*0.7 + (0.75-1)*180</f>
        <v/>
      </c>
      <c r="D12" s="119">
        <f>S4_Leased_Star_Deferred!D61/1000000 + (799-599)*0.7 + (0.9-1)*180</f>
        <v/>
      </c>
      <c r="E12" s="103">
        <f>S4_Leased_Star_Deferred!D61/1000000 + (799-599)*0.7 + (1-1)*180</f>
        <v/>
      </c>
      <c r="F12" s="103">
        <f>S4_Leased_Star_Deferred!D61/1000000 + (799-599)*0.7 + (1.15-1)*180</f>
        <v/>
      </c>
      <c r="G12" s="103">
        <f>S4_Leased_Star_Deferred!D61/1000000 + (799-599)*0.7 + (1.25-1)*180</f>
        <v/>
      </c>
    </row>
    <row r="13">
      <c r="A13" s="80" t="inlineStr">
        <is>
          <t>PHP 899</t>
        </is>
      </c>
      <c r="B13" s="118">
        <f>S4_Leased_Star_Deferred!D61/1000000 + (899-599)*0.7 + (0.5-1)*180</f>
        <v/>
      </c>
      <c r="C13" s="119">
        <f>S4_Leased_Star_Deferred!D61/1000000 + (899-599)*0.7 + (0.75-1)*180</f>
        <v/>
      </c>
      <c r="D13" s="119">
        <f>S4_Leased_Star_Deferred!D61/1000000 + (899-599)*0.7 + (0.9-1)*180</f>
        <v/>
      </c>
      <c r="E13" s="103">
        <f>S4_Leased_Star_Deferred!D61/1000000 + (899-599)*0.7 + (1-1)*180</f>
        <v/>
      </c>
      <c r="F13" s="103">
        <f>S4_Leased_Star_Deferred!D61/1000000 + (899-599)*0.7 + (1.15-1)*180</f>
        <v/>
      </c>
      <c r="G13" s="103">
        <f>S4_Leased_Star_Deferred!D61/1000000 + (899-599)*0.7 + (1.25-1)*180</f>
        <v/>
      </c>
    </row>
    <row r="14"/>
    <row r="15"/>
    <row r="16" ht="16" customHeight="1">
      <c r="A16" s="3" t="inlineStr">
        <is>
          <t>2. TWO-WAY SENSITIVITY: 10-YEAR NPV ($M) — CAPEX VARIATION vs. OPEX VARIATION</t>
        </is>
      </c>
    </row>
    <row r="17">
      <c r="A17" s="80" t="inlineStr">
        <is>
          <t>CAPEX Swing \ OPEX Swing</t>
        </is>
      </c>
      <c r="B17" s="81" t="inlineStr">
        <is>
          <t>OPEX -20%</t>
        </is>
      </c>
      <c r="C17" s="81" t="inlineStr">
        <is>
          <t>OPEX -10%</t>
        </is>
      </c>
      <c r="D17" s="81" t="inlineStr">
        <is>
          <t>OPEX +0%</t>
        </is>
      </c>
      <c r="E17" s="81" t="inlineStr">
        <is>
          <t>OPEX +10%</t>
        </is>
      </c>
      <c r="F17" s="81" t="inlineStr">
        <is>
          <t>OPEX +20%</t>
        </is>
      </c>
    </row>
    <row r="18">
      <c r="A18" s="80" t="inlineStr">
        <is>
          <t>CAPEX -20%</t>
        </is>
      </c>
      <c r="B18" s="103">
        <f>S4_Leased_Star_Deferred!D61/1000000 - (-0.2*S4_Leased_Star_Deferred!N39/1000000) - (-0.2*S4_Leased_Star_Deferred!N29/1000000*0.65)</f>
        <v/>
      </c>
      <c r="C18" s="103">
        <f>S4_Leased_Star_Deferred!D61/1000000 - (-0.2*S4_Leased_Star_Deferred!N39/1000000) - (-0.1*S4_Leased_Star_Deferred!N29/1000000*0.65)</f>
        <v/>
      </c>
      <c r="D18" s="103">
        <f>S4_Leased_Star_Deferred!D61/1000000 - (-0.2*S4_Leased_Star_Deferred!N39/1000000) - (0*S4_Leased_Star_Deferred!N29/1000000*0.65)</f>
        <v/>
      </c>
      <c r="E18" s="119">
        <f>S4_Leased_Star_Deferred!D61/1000000 - (-0.2*S4_Leased_Star_Deferred!N39/1000000) - (0.1*S4_Leased_Star_Deferred!N29/1000000*0.65)</f>
        <v/>
      </c>
      <c r="F18" s="119">
        <f>S4_Leased_Star_Deferred!D61/1000000 - (-0.2*S4_Leased_Star_Deferred!N39/1000000) - (0.2*S4_Leased_Star_Deferred!N29/1000000*0.65)</f>
        <v/>
      </c>
    </row>
    <row r="19">
      <c r="A19" s="80" t="inlineStr">
        <is>
          <t>CAPEX -10%</t>
        </is>
      </c>
      <c r="B19" s="103">
        <f>S4_Leased_Star_Deferred!D61/1000000 - (-0.1*S4_Leased_Star_Deferred!N39/1000000) - (-0.2*S4_Leased_Star_Deferred!N29/1000000*0.65)</f>
        <v/>
      </c>
      <c r="C19" s="103">
        <f>S4_Leased_Star_Deferred!D61/1000000 - (-0.1*S4_Leased_Star_Deferred!N39/1000000) - (-0.1*S4_Leased_Star_Deferred!N29/1000000*0.65)</f>
        <v/>
      </c>
      <c r="D19" s="103">
        <f>S4_Leased_Star_Deferred!D61/1000000 - (-0.1*S4_Leased_Star_Deferred!N39/1000000) - (0*S4_Leased_Star_Deferred!N29/1000000*0.65)</f>
        <v/>
      </c>
      <c r="E19" s="119">
        <f>S4_Leased_Star_Deferred!D61/1000000 - (-0.1*S4_Leased_Star_Deferred!N39/1000000) - (0.1*S4_Leased_Star_Deferred!N29/1000000*0.65)</f>
        <v/>
      </c>
      <c r="F19" s="119">
        <f>S4_Leased_Star_Deferred!D61/1000000 - (-0.1*S4_Leased_Star_Deferred!N39/1000000) - (0.2*S4_Leased_Star_Deferred!N29/1000000*0.65)</f>
        <v/>
      </c>
    </row>
    <row r="20">
      <c r="A20" s="80" t="inlineStr">
        <is>
          <t>CAPEX +0%</t>
        </is>
      </c>
      <c r="B20" s="103">
        <f>S4_Leased_Star_Deferred!D61/1000000 - (0*S4_Leased_Star_Deferred!N39/1000000) - (-0.2*S4_Leased_Star_Deferred!N29/1000000*0.65)</f>
        <v/>
      </c>
      <c r="C20" s="103">
        <f>S4_Leased_Star_Deferred!D61/1000000 - (0*S4_Leased_Star_Deferred!N39/1000000) - (-0.1*S4_Leased_Star_Deferred!N29/1000000*0.65)</f>
        <v/>
      </c>
      <c r="D20" s="103">
        <f>S4_Leased_Star_Deferred!D61/1000000 - (0*S4_Leased_Star_Deferred!N39/1000000) - (0*S4_Leased_Star_Deferred!N29/1000000*0.65)</f>
        <v/>
      </c>
      <c r="E20" s="119">
        <f>S4_Leased_Star_Deferred!D61/1000000 - (0*S4_Leased_Star_Deferred!N39/1000000) - (0.1*S4_Leased_Star_Deferred!N29/1000000*0.65)</f>
        <v/>
      </c>
      <c r="F20" s="119">
        <f>S4_Leased_Star_Deferred!D61/1000000 - (0*S4_Leased_Star_Deferred!N39/1000000) - (0.2*S4_Leased_Star_Deferred!N29/1000000*0.65)</f>
        <v/>
      </c>
    </row>
    <row r="21">
      <c r="A21" s="80" t="inlineStr">
        <is>
          <t>CAPEX +10%</t>
        </is>
      </c>
      <c r="B21" s="119">
        <f>S4_Leased_Star_Deferred!D61/1000000 - (0.1*S4_Leased_Star_Deferred!N39/1000000) - (-0.2*S4_Leased_Star_Deferred!N29/1000000*0.65)</f>
        <v/>
      </c>
      <c r="C21" s="119">
        <f>S4_Leased_Star_Deferred!D61/1000000 - (0.1*S4_Leased_Star_Deferred!N39/1000000) - (-0.1*S4_Leased_Star_Deferred!N29/1000000*0.65)</f>
        <v/>
      </c>
      <c r="D21" s="119">
        <f>S4_Leased_Star_Deferred!D61/1000000 - (0.1*S4_Leased_Star_Deferred!N39/1000000) - (0*S4_Leased_Star_Deferred!N29/1000000*0.65)</f>
        <v/>
      </c>
      <c r="E21" s="118">
        <f>S4_Leased_Star_Deferred!D61/1000000 - (0.1*S4_Leased_Star_Deferred!N39/1000000) - (0.1*S4_Leased_Star_Deferred!N29/1000000*0.65)</f>
        <v/>
      </c>
      <c r="F21" s="118">
        <f>S4_Leased_Star_Deferred!D61/1000000 - (0.1*S4_Leased_Star_Deferred!N39/1000000) - (0.2*S4_Leased_Star_Deferred!N29/1000000*0.65)</f>
        <v/>
      </c>
    </row>
    <row r="22">
      <c r="A22" s="80" t="inlineStr">
        <is>
          <t>CAPEX +20%</t>
        </is>
      </c>
      <c r="B22" s="119">
        <f>S4_Leased_Star_Deferred!D61/1000000 - (0.2*S4_Leased_Star_Deferred!N39/1000000) - (-0.2*S4_Leased_Star_Deferred!N29/1000000*0.65)</f>
        <v/>
      </c>
      <c r="C22" s="119">
        <f>S4_Leased_Star_Deferred!D61/1000000 - (0.2*S4_Leased_Star_Deferred!N39/1000000) - (-0.1*S4_Leased_Star_Deferred!N29/1000000*0.65)</f>
        <v/>
      </c>
      <c r="D22" s="119">
        <f>S4_Leased_Star_Deferred!D61/1000000 - (0.2*S4_Leased_Star_Deferred!N39/1000000) - (0*S4_Leased_Star_Deferred!N29/1000000*0.65)</f>
        <v/>
      </c>
      <c r="E22" s="118">
        <f>S4_Leased_Star_Deferred!D61/1000000 - (0.2*S4_Leased_Star_Deferred!N39/1000000) - (0.1*S4_Leased_Star_Deferred!N29/1000000*0.65)</f>
        <v/>
      </c>
      <c r="F22" s="118">
        <f>S4_Leased_Star_Deferred!D61/1000000 - (0.2*S4_Leased_Star_Deferred!N39/1000000) - (0.2*S4_Leased_Star_Deferred!N29/1000000*0.65)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38" customWidth="1" min="2" max="2"/>
    <col width="18" customWidth="1" min="3" max="3"/>
    <col width="65" customWidth="1" min="4" max="4"/>
    <col width="18" customWidth="1" min="5" max="5"/>
    <col width="16" customWidth="1" min="6" max="6"/>
    <col width="25" customWidth="1" min="7" max="7"/>
  </cols>
  <sheetData>
    <row r="1" ht="21" customHeight="1">
      <c r="A1" s="1" t="inlineStr">
        <is>
          <t>FWA 5G n50 (60 MHz) — Strategic &amp; Operational Maneuvering Levers (1,000 Sites in Y1)</t>
        </is>
      </c>
    </row>
    <row r="2">
      <c r="A2" s="2" t="inlineStr">
        <is>
          <t>Actionable commercial, technical, and regulatory maneuvers to maximize NPV, compress payback, and de-risk the investment.</t>
        </is>
      </c>
    </row>
    <row r="3"/>
    <row r="4">
      <c r="A4" s="5" t="inlineStr">
        <is>
          <t>Lever #</t>
        </is>
      </c>
      <c r="B4" s="5" t="inlineStr">
        <is>
          <t>Strategic Lever &amp; Action</t>
        </is>
      </c>
      <c r="C4" s="5" t="inlineStr">
        <is>
          <t>Functional Domain</t>
        </is>
      </c>
      <c r="D4" s="5" t="inlineStr">
        <is>
          <t>Implementation Mechanism</t>
        </is>
      </c>
      <c r="E4" s="5" t="inlineStr">
        <is>
          <t>NPV Impact ($M)</t>
        </is>
      </c>
      <c r="F4" s="5" t="inlineStr">
        <is>
          <t>Payback Impact</t>
        </is>
      </c>
      <c r="G4" s="5" t="inlineStr">
        <is>
          <t>Implementation Feasibility</t>
        </is>
      </c>
    </row>
    <row r="5">
      <c r="A5" s="6" t="inlineStr">
        <is>
          <t>Lever 1</t>
        </is>
      </c>
      <c r="B5" s="7" t="inlineStr">
        <is>
          <t>TowerCo Colocation vs Self-Build</t>
        </is>
      </c>
      <c r="C5" s="42" t="inlineStr">
        <is>
          <t>Infrastructure</t>
        </is>
      </c>
      <c r="D5" s="85" t="inlineStr">
        <is>
          <t>Lease macro towers from TowerCos instead of building owned monopoles; saves $72.1M upfront civil capex in Y1</t>
        </is>
      </c>
      <c r="E5" s="23" t="inlineStr">
        <is>
          <t>+$131.0M</t>
        </is>
      </c>
      <c r="F5" s="17" t="inlineStr">
        <is>
          <t>-3.5 Yrs</t>
        </is>
      </c>
      <c r="G5" s="42" t="inlineStr">
        <is>
          <t>High (Active TowerCo Market)</t>
        </is>
      </c>
    </row>
    <row r="6">
      <c r="A6" s="6" t="inlineStr">
        <is>
          <t>Lever 2</t>
        </is>
      </c>
      <c r="B6" s="7" t="inlineStr">
        <is>
          <t>Satellite Backhaul (Starlink) vs Leased FOC</t>
        </is>
      </c>
      <c r="C6" s="42" t="inlineStr">
        <is>
          <t>Transport</t>
        </is>
      </c>
      <c r="D6" s="85" t="inlineStr">
        <is>
          <t>Deploy 4x Starlink terminals per site (₱6,800/mo) vs dedicated fiber (₱100,000/mo); saves $20.2M/yr OPEX</t>
        </is>
      </c>
      <c r="E6" s="23" t="inlineStr">
        <is>
          <t>+$104.5M</t>
        </is>
      </c>
      <c r="F6" s="17" t="inlineStr">
        <is>
          <t>-2.8 Yrs</t>
        </is>
      </c>
      <c r="G6" s="42" t="inlineStr">
        <is>
          <t>High (Starlink Authorized)</t>
        </is>
      </c>
    </row>
    <row r="7">
      <c r="A7" s="6" t="inlineStr">
        <is>
          <t>Lever 3</t>
        </is>
      </c>
      <c r="B7" s="7" t="inlineStr">
        <is>
          <t>Vendor Financing for Equipment (20/80)</t>
        </is>
      </c>
      <c r="C7" s="42" t="inlineStr">
        <is>
          <t>Financial</t>
        </is>
      </c>
      <c r="D7" s="85" t="inlineStr">
        <is>
          <t>Negotiate 20% down + 4-year deferred vendor financing with RAN/Core OEM; cuts Y1 cash burn by 70%</t>
        </is>
      </c>
      <c r="E7" s="23" t="inlineStr">
        <is>
          <t>+$38.2M</t>
        </is>
      </c>
      <c r="F7" s="17" t="inlineStr">
        <is>
          <t>-2.0 Yrs</t>
        </is>
      </c>
      <c r="G7" s="42" t="inlineStr">
        <is>
          <t>High (Standard OEM Terms)</t>
        </is>
      </c>
    </row>
    <row r="8">
      <c r="A8" s="6" t="inlineStr">
        <is>
          <t>Lever 4</t>
        </is>
      </c>
      <c r="B8" s="7" t="inlineStr">
        <is>
          <t>Regulatory SUF Classification as BWA</t>
        </is>
      </c>
      <c r="C8" s="42" t="inlineStr">
        <is>
          <t>Regulatory</t>
        </is>
      </c>
      <c r="D8" s="85" t="inlineStr">
        <is>
          <t>Secure written NTC classification as Broadband Wireless Access (₱60M flat) vs CMTS Mobile (₱140M); saves ₱80M/yr</t>
        </is>
      </c>
      <c r="E8" s="23" t="inlineStr">
        <is>
          <t>+$28.5M</t>
        </is>
      </c>
      <c r="F8" s="17" t="inlineStr">
        <is>
          <t>-0.9 Yrs</t>
        </is>
      </c>
      <c r="G8" s="42" t="inlineStr">
        <is>
          <t>Medium (NTC Petition Required)</t>
        </is>
      </c>
    </row>
    <row r="9">
      <c r="A9" s="6" t="inlineStr">
        <is>
          <t>Lever 5</t>
        </is>
      </c>
      <c r="B9" s="7" t="inlineStr">
        <is>
          <t>Aggressive Commercial Pre-Sale (500k Subs Y1)</t>
        </is>
      </c>
      <c r="C9" s="42" t="inlineStr">
        <is>
          <t>Commercial</t>
        </is>
      </c>
      <c r="D9" s="85" t="inlineStr">
        <is>
          <t>Aggregate household demand in missionary LGUs to launch with 500k subscribers in Year 1 instead of 250k</t>
        </is>
      </c>
      <c r="E9" s="23" t="inlineStr">
        <is>
          <t>+$79.8M</t>
        </is>
      </c>
      <c r="F9" s="17" t="inlineStr">
        <is>
          <t>-2.4 Yrs</t>
        </is>
      </c>
      <c r="G9" s="42" t="inlineStr">
        <is>
          <t>High (Local Government MoUs)</t>
        </is>
      </c>
    </row>
    <row r="10">
      <c r="A10" s="6" t="inlineStr">
        <is>
          <t>Lever 6</t>
        </is>
      </c>
      <c r="B10" s="7" t="inlineStr">
        <is>
          <t>CPE Volume Sourcing &amp; Price Locking ($55)</t>
        </is>
      </c>
      <c r="C10" s="42" t="inlineStr">
        <is>
          <t>Supply Chain</t>
        </is>
      </c>
      <c r="D10" s="85" t="inlineStr">
        <is>
          <t>Lock high-volume sub-1.5GHz n50 indoor CPE contract at $55/unit vs legacy $100-$300 models; saves $45M capex</t>
        </is>
      </c>
      <c r="E10" s="23" t="inlineStr">
        <is>
          <t>+$45.0M</t>
        </is>
      </c>
      <c r="F10" s="17" t="inlineStr">
        <is>
          <t>-1.4 Yrs</t>
        </is>
      </c>
      <c r="G10" s="42" t="inlineStr">
        <is>
          <t>Medium (ODM Commitment)</t>
        </is>
      </c>
    </row>
    <row r="11">
      <c r="A11" s="6" t="inlineStr">
        <is>
          <t>Lever 7</t>
        </is>
      </c>
      <c r="B11" s="7" t="inlineStr">
        <is>
          <t>CPE Reverse Logistics &amp; Refurbishment</t>
        </is>
      </c>
      <c r="C11" s="42" t="inlineStr">
        <is>
          <t>Operations</t>
        </is>
      </c>
      <c r="D11" s="85" t="inlineStr">
        <is>
          <t>Implement 50% CPE reclamation and 20% refurb program on churned households; slashes replacement capex</t>
        </is>
      </c>
      <c r="E11" s="23" t="inlineStr">
        <is>
          <t>+$18.6M</t>
        </is>
      </c>
      <c r="F11" s="17" t="inlineStr">
        <is>
          <t>-0.5 Yrs</t>
        </is>
      </c>
      <c r="G11" s="42" t="inlineStr">
        <is>
          <t>High (Field Force SOP)</t>
        </is>
      </c>
    </row>
    <row r="12">
      <c r="A12" s="6" t="inlineStr">
        <is>
          <t>Lever 8</t>
        </is>
      </c>
      <c r="B12" s="7" t="inlineStr">
        <is>
          <t>Site Power Rationalization &amp; Solar Hybrid</t>
        </is>
      </c>
      <c r="C12" s="42" t="inlineStr">
        <is>
          <t>Technical</t>
        </is>
      </c>
      <c r="D12" s="85" t="inlineStr">
        <is>
          <t>Deploy smart DC rectifier power management and peak-shaving solar to cut grid electricity from ₱80k to ₱45k/mo</t>
        </is>
      </c>
      <c r="E12" s="23" t="inlineStr">
        <is>
          <t>+$26.8M</t>
        </is>
      </c>
      <c r="F12" s="17" t="inlineStr">
        <is>
          <t>-0.7 Yrs</t>
        </is>
      </c>
      <c r="G12" s="42" t="inlineStr">
        <is>
          <t>High (ESCO / Solar Vendor)</t>
        </is>
      </c>
    </row>
    <row r="13">
      <c r="A13" s="6" t="inlineStr">
        <is>
          <t>Lever 9</t>
        </is>
      </c>
      <c r="B13" s="7" t="inlineStr">
        <is>
          <t>Active Telecom O&amp;M Scale Rationalization</t>
        </is>
      </c>
      <c r="C13" s="42" t="inlineStr">
        <is>
          <t>Operations</t>
        </is>
      </c>
      <c r="D13" s="85" t="inlineStr">
        <is>
          <t>Consolidate active maintenance into unified regional SLAs to lower per-site active O&amp;M from ₱120k to ₱70k/mo</t>
        </is>
      </c>
      <c r="E13" s="23" t="inlineStr">
        <is>
          <t>+$34.1M</t>
        </is>
      </c>
      <c r="F13" s="17" t="inlineStr">
        <is>
          <t>-1.0 Yrs</t>
        </is>
      </c>
      <c r="G13" s="42" t="inlineStr">
        <is>
          <t>High (Contract Negotiation)</t>
        </is>
      </c>
    </row>
    <row r="14">
      <c r="A14" s="6" t="inlineStr">
        <is>
          <t>Lever 10</t>
        </is>
      </c>
      <c r="B14" s="7" t="inlineStr">
        <is>
          <t>Product Tiering &amp; Add-On Services (ARPU +25%)</t>
        </is>
      </c>
      <c r="C14" s="42" t="inlineStr">
        <is>
          <t>Commercial</t>
        </is>
      </c>
      <c r="D14" s="85" t="inlineStr">
        <is>
          <t>Introduce 50 Mbps turbo boost, SME fixed IP plans, and streaming bundles to lift blended ARPU to ₱750</t>
        </is>
      </c>
      <c r="E14" s="23" t="inlineStr">
        <is>
          <t>+$68.4M</t>
        </is>
      </c>
      <c r="F14" s="17" t="inlineStr">
        <is>
          <t>-1.8 Yrs</t>
        </is>
      </c>
      <c r="G14" s="42" t="inlineStr">
        <is>
          <t>High (Product Packaging)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2026-09-18T01:48:23Z</dcterms:created>
  <dcterms:modified xsi:type="dcterms:W3CDTF">2026-09-25T02:37:40Z</dcterms:modified>
  <cp:lastModifiedBy>OLIVER TUNGOL</cp:lastModifiedBy>
</cp:coreProperties>
</file>